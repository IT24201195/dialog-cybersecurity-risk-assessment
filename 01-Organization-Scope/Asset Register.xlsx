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Classification Dashboard" sheetId="1" r:id="rId5"/>
    <sheet state="visible" name="Asset Register" sheetId="2" r:id="rId6"/>
  </sheets>
  <definedNames/>
  <calcPr/>
</workbook>
</file>

<file path=xl/sharedStrings.xml><?xml version="1.0" encoding="utf-8"?>
<sst xmlns="http://schemas.openxmlformats.org/spreadsheetml/2006/main" count="367" uniqueCount="183">
  <si>
    <t>Asset ID</t>
  </si>
  <si>
    <t>Asset Name</t>
  </si>
  <si>
    <t>Asset Category</t>
  </si>
  <si>
    <t>Description</t>
  </si>
  <si>
    <t>Business Function</t>
  </si>
  <si>
    <t>Confidentiality</t>
  </si>
  <si>
    <t>Integrity</t>
  </si>
  <si>
    <t>Availability</t>
  </si>
  <si>
    <t>Criticality</t>
  </si>
  <si>
    <t>Asset Owner</t>
  </si>
  <si>
    <t>Public Evidence</t>
  </si>
  <si>
    <t>A001</t>
  </si>
  <si>
    <t>Customer Personal Information</t>
  </si>
  <si>
    <t>Information</t>
  </si>
  <si>
    <t>Customer identity and contact information processed through Dialog services</t>
  </si>
  <si>
    <t>Customer account management</t>
  </si>
  <si>
    <t>High</t>
  </si>
  <si>
    <t>Medium</t>
  </si>
  <si>
    <t>Critical</t>
  </si>
  <si>
    <t>Customer Operations</t>
  </si>
  <si>
    <r>
      <rPr/>
      <t xml:space="preserve">Dialog Privacy Notice - </t>
    </r>
    <r>
      <rPr>
        <color rgb="FF1155CC"/>
        <u/>
      </rPr>
      <t>https://dialog.lk/privacy-notice</t>
    </r>
  </si>
  <si>
    <t>A002</t>
  </si>
  <si>
    <t>Customer Account Information</t>
  </si>
  <si>
    <t>Information associated with customer accounts and service relationships</t>
  </si>
  <si>
    <r>
      <rPr/>
      <t xml:space="preserve">Dialog Privacy Notice - </t>
    </r>
    <r>
      <rPr>
        <color rgb="FF1155CC"/>
        <u/>
      </rPr>
      <t>https://dialog.lk/privacy-notice</t>
    </r>
  </si>
  <si>
    <t>A003</t>
  </si>
  <si>
    <t>Billing Records</t>
  </si>
  <si>
    <t>Records relating to customer billing and charges</t>
  </si>
  <si>
    <t>Billing and revenue management</t>
  </si>
  <si>
    <t>Finance / Billing Operations</t>
  </si>
  <si>
    <r>
      <rPr/>
      <t xml:space="preserve">Dialog public business information - </t>
    </r>
    <r>
      <rPr>
        <color rgb="FF1155CC"/>
        <u/>
      </rPr>
      <t>https://dialog.lk/business</t>
    </r>
  </si>
  <si>
    <t>A004</t>
  </si>
  <si>
    <t>Payment Information</t>
  </si>
  <si>
    <t>Information used to process customer payments and financial transactions</t>
  </si>
  <si>
    <t>Payment processing</t>
  </si>
  <si>
    <t>Finance / Payment Operations</t>
  </si>
  <si>
    <r>
      <rPr/>
      <t xml:space="preserve">Dialog Privacy Notice -  </t>
    </r>
    <r>
      <rPr>
        <color rgb="FF1155CC"/>
        <u/>
      </rPr>
      <t>https://dialog.lk/privacy-noticeDialog</t>
    </r>
    <r>
      <rPr/>
      <t xml:space="preserve"> , Enterprise public information - </t>
    </r>
    <r>
      <rPr>
        <color rgb="FF1155CC"/>
        <u/>
      </rPr>
      <t>https://business.dialog.lk/</t>
    </r>
  </si>
  <si>
    <t>A005</t>
  </si>
  <si>
    <t>Network Usage Data</t>
  </si>
  <si>
    <t>Data relating to customer use of telecommunications services</t>
  </si>
  <si>
    <t>Telecommunications service delivery</t>
  </si>
  <si>
    <t>Network Operations</t>
  </si>
  <si>
    <r>
      <rPr/>
      <t xml:space="preserve">Dialog Privacy Notice - </t>
    </r>
    <r>
      <rPr>
        <color rgb="FF1155CC"/>
        <u/>
      </rPr>
      <t>https://dialog.lk/privacy-notice</t>
    </r>
  </si>
  <si>
    <t>A006</t>
  </si>
  <si>
    <t>Location Data</t>
  </si>
  <si>
    <t>Location-related information associated with customer services or devices</t>
  </si>
  <si>
    <r>
      <rPr/>
      <t xml:space="preserve">Dialog Privacy Notice - </t>
    </r>
    <r>
      <rPr>
        <color rgb="FF1155CC"/>
        <u/>
      </rPr>
      <t>https://dialog.lk/privacy-notice</t>
    </r>
  </si>
  <si>
    <t>A007</t>
  </si>
  <si>
    <t>Employee HR Records</t>
  </si>
  <si>
    <t>Personnel and employment-related information</t>
  </si>
  <si>
    <t>Human resources management</t>
  </si>
  <si>
    <t>Human Resources</t>
  </si>
  <si>
    <r>
      <rPr/>
      <t xml:space="preserve">Dialog Privacy Notice - </t>
    </r>
    <r>
      <rPr>
        <color rgb="FF1155CC"/>
        <u/>
      </rPr>
      <t>https://dialog.lk/privacy-notice</t>
    </r>
  </si>
  <si>
    <t>A008</t>
  </si>
  <si>
    <t>Security Logs</t>
  </si>
  <si>
    <t>Logs supporting security monitoring, detection, and investigation</t>
  </si>
  <si>
    <t>Security monitoring and incident investigation</t>
  </si>
  <si>
    <t>Information Security</t>
  </si>
  <si>
    <r>
      <rPr/>
      <t xml:space="preserve">Dialog public security/privacy information - </t>
    </r>
    <r>
      <rPr>
        <color rgb="FF1155CC"/>
        <u/>
      </rPr>
      <t>https://business.dialog.lk/</t>
    </r>
    <r>
      <rPr/>
      <t xml:space="preserve"> , </t>
    </r>
    <r>
      <rPr>
        <color rgb="FF1155CC"/>
        <u/>
      </rPr>
      <t>https://dialog.lk/privacy-notice</t>
    </r>
  </si>
  <si>
    <t>A009</t>
  </si>
  <si>
    <t>Customer Mobile App</t>
  </si>
  <si>
    <t>Application</t>
  </si>
  <si>
    <t>Mobile application used by customers to access services and account functions</t>
  </si>
  <si>
    <t>Customer service delivery</t>
  </si>
  <si>
    <t>Digital / Customer Operations</t>
  </si>
  <si>
    <r>
      <rPr/>
      <t xml:space="preserve">Dialog public business information - </t>
    </r>
    <r>
      <rPr>
        <color rgb="FF1155CC"/>
        <u/>
      </rPr>
      <t>https://dialog.lk/business</t>
    </r>
  </si>
  <si>
    <t>A010</t>
  </si>
  <si>
    <t>Customer Web Portal</t>
  </si>
  <si>
    <t>Web-based customer platform for accessing services and account functions</t>
  </si>
  <si>
    <r>
      <rPr/>
      <t xml:space="preserve">Dialog public business information - </t>
    </r>
    <r>
      <rPr>
        <color rgb="FF1155CC"/>
        <u/>
      </rPr>
      <t>https://dialog.lk/business</t>
    </r>
  </si>
  <si>
    <t>A011</t>
  </si>
  <si>
    <t>Digital Payment Platform</t>
  </si>
  <si>
    <t>Platform supporting digital payment and transaction functionality</t>
  </si>
  <si>
    <t>Digital / Finance Operations</t>
  </si>
  <si>
    <r>
      <rPr/>
      <t xml:space="preserve">Dialog public business information - </t>
    </r>
    <r>
      <rPr>
        <color rgb="FF1155CC"/>
        <u/>
      </rPr>
      <t>https://dialog.lk/business</t>
    </r>
  </si>
  <si>
    <t>A012</t>
  </si>
  <si>
    <t>Customer Authentication Services</t>
  </si>
  <si>
    <t>Services supporting customer identity verification and authentication</t>
  </si>
  <si>
    <t>Customer account security</t>
  </si>
  <si>
    <t>Identity and Access Management</t>
  </si>
  <si>
    <r>
      <rPr/>
      <t xml:space="preserve">Dialog Privacy Notice; Dialog public information - </t>
    </r>
    <r>
      <rPr>
        <color rgb="FF1155CC"/>
        <u/>
      </rPr>
      <t>https://business.dialog.lk/</t>
    </r>
    <r>
      <rPr/>
      <t xml:space="preserve"> , </t>
    </r>
    <r>
      <rPr>
        <color rgb="FF1155CC"/>
        <u/>
      </rPr>
      <t>https://dialog.lk/privacy-notice</t>
    </r>
  </si>
  <si>
    <t>A013</t>
  </si>
  <si>
    <t>Mobile Network Infrastructure</t>
  </si>
  <si>
    <t>Infrastructure</t>
  </si>
  <si>
    <t>Infrastructure supporting mobile telecommunications services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</si>
  <si>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</si>
  <si>
    <t>A014</t>
  </si>
  <si>
    <t>4G/5G Network Systems</t>
  </si>
  <si>
    <t>Network systems supporting 4G and 5G mobile connectivity</t>
  </si>
  <si>
    <t>ASSET CLASSIFICATION DASHBOARD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</si>
  <si>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</si>
  <si>
    <t>Dialog Axiata PLC – Public-Source Risk Assessment</t>
  </si>
  <si>
    <t>A015</t>
  </si>
  <si>
    <t xml:space="preserve"> </t>
  </si>
  <si>
    <t>Fixed Broadband Infrastructure</t>
  </si>
  <si>
    <t>TOTAL ASSETS</t>
  </si>
  <si>
    <t>Infrastructure supporting fixed broadband connectivity</t>
  </si>
  <si>
    <t>CRITICAL ASSETS</t>
  </si>
  <si>
    <t>HIGH CRITICALITY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</si>
  <si>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</si>
  <si>
    <t>A016</t>
  </si>
  <si>
    <t>Core Network Systems</t>
  </si>
  <si>
    <t>Core systems supporting telecommunications network operations</t>
  </si>
  <si>
    <t>Category</t>
  </si>
  <si>
    <t>Count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</si>
  <si>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</si>
  <si>
    <t>Security Infrastructure</t>
  </si>
  <si>
    <t>A017</t>
  </si>
  <si>
    <t>Cloud Infrastructure</t>
  </si>
  <si>
    <t>Security Capability</t>
  </si>
  <si>
    <t>Third Party</t>
  </si>
  <si>
    <t>Cloud-based infrastructure supporting digital services and workloads</t>
  </si>
  <si>
    <t>Digital service hosting</t>
  </si>
  <si>
    <t>Technology Operations</t>
  </si>
  <si>
    <t>Classification</t>
  </si>
  <si>
    <r>
      <rPr/>
      <t xml:space="preserve">Dialog public business information - </t>
    </r>
    <r>
      <rPr>
        <color rgb="FF1155CC"/>
        <u/>
      </rPr>
      <t>https://dialog.lk/business</t>
    </r>
  </si>
  <si>
    <t>A018</t>
  </si>
  <si>
    <t>Data Centre Infrastructure</t>
  </si>
  <si>
    <t>Data centre facilities and supporting infrastructure</t>
  </si>
  <si>
    <t>Low</t>
  </si>
  <si>
    <r>
      <rPr/>
      <t xml:space="preserve">Dialog public business information - </t>
    </r>
    <r>
      <rPr>
        <color rgb="FF1155CC"/>
        <u/>
      </rPr>
      <t>https://dialog.lk/business</t>
    </r>
  </si>
  <si>
    <t>A019</t>
  </si>
  <si>
    <t>Enterprise Servers</t>
  </si>
  <si>
    <t>Servers supporting enterprise applications and services</t>
  </si>
  <si>
    <t>Enterprise service delivery</t>
  </si>
  <si>
    <r>
      <rPr/>
      <t xml:space="preserve">Dialog public business information - </t>
    </r>
    <r>
      <rPr>
        <color rgb="FF1155CC"/>
        <u/>
      </rPr>
      <t>https://dialog.lk/business</t>
    </r>
  </si>
  <si>
    <t>A020</t>
  </si>
  <si>
    <t>Backup Infrastructure</t>
  </si>
  <si>
    <t>Infrastructure supporting backup and recovery of business data and systems</t>
  </si>
  <si>
    <t>Business continuity and disaster recovery</t>
  </si>
  <si>
    <t>Technology Operations / Business Continuity</t>
  </si>
  <si>
    <r>
      <rPr/>
      <t xml:space="preserve">Dialog public information - </t>
    </r>
    <r>
      <rPr>
        <color rgb="FF1155CC"/>
        <u/>
      </rPr>
      <t>https://business.dialog.lk/</t>
    </r>
  </si>
  <si>
    <t>A021</t>
  </si>
  <si>
    <t>Storage Systems</t>
  </si>
  <si>
    <t>Systems used to store business and operational data</t>
  </si>
  <si>
    <t>Data storage and service delivery</t>
  </si>
  <si>
    <r>
      <rPr/>
      <t xml:space="preserve">Dialog Enterprise public information - </t>
    </r>
    <r>
      <rPr>
        <color rgb="FF1155CC"/>
        <u/>
      </rPr>
      <t>https://business.dialog.lk/</t>
    </r>
  </si>
  <si>
    <t>A022</t>
  </si>
  <si>
    <t>Corporate Email</t>
  </si>
  <si>
    <t>Corporate communication and email services</t>
  </si>
  <si>
    <t>Internal business communication</t>
  </si>
  <si>
    <t>IT Operations</t>
  </si>
  <si>
    <r>
      <rPr/>
      <t xml:space="preserve">Dialog public corporate information - </t>
    </r>
    <r>
      <rPr>
        <color rgb="FF1155CC"/>
        <u/>
      </rPr>
      <t>https://business.dialog.lk/</t>
    </r>
  </si>
  <si>
    <t>A023</t>
  </si>
  <si>
    <t>Employee Identity Services</t>
  </si>
  <si>
    <t>Identity and authentication services supporting employee access</t>
  </si>
  <si>
    <t>Employee access management</t>
  </si>
  <si>
    <r>
      <rPr/>
      <t xml:space="preserve">Dialog public information - </t>
    </r>
    <r>
      <rPr>
        <color rgb="FF1155CC"/>
        <u/>
      </rPr>
      <t>https://business.dialog.lk/</t>
    </r>
  </si>
  <si>
    <t>A024</t>
  </si>
  <si>
    <t>Internal Business Applications</t>
  </si>
  <si>
    <t>Applications supporting internal business processes</t>
  </si>
  <si>
    <t>Internal business operations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</si>
  <si>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</si>
  <si>
    <t>A025</t>
  </si>
  <si>
    <t>Employee Endpoints</t>
  </si>
  <si>
    <t>Employee laptops, desktops, and other endpoint devices</t>
  </si>
  <si>
    <r>
      <rPr/>
      <t xml:space="preserve">Dialog public corporate information - </t>
    </r>
    <r>
      <rPr>
        <color rgb="FF1155CC"/>
        <u/>
      </rPr>
      <t>https://business.dialog.lk/</t>
    </r>
  </si>
  <si>
    <t>A026</t>
  </si>
  <si>
    <t>Security Monitoring Systems</t>
  </si>
  <si>
    <t>Systems supporting security monitoring, detection, and alerting</t>
  </si>
  <si>
    <t>Security monitoring and incident detection</t>
  </si>
  <si>
    <r>
      <rPr/>
      <t xml:space="preserve">Dialog public information - </t>
    </r>
    <r>
      <rPr>
        <color rgb="FF1155CC"/>
        <u/>
      </rPr>
      <t>https://business.dialog.lk/</t>
    </r>
  </si>
  <si>
    <t>A027</t>
  </si>
  <si>
    <t>Incident Response Capability</t>
  </si>
  <si>
    <t>People, processes, and capabilities used to respond to security incidents</t>
  </si>
  <si>
    <t>Incident response and business continuity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</si>
  <si>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</si>
  <si>
    <t>A028</t>
  </si>
  <si>
    <t>Identity &amp; Access Controls</t>
  </si>
  <si>
    <t>Controls supporting authentication, authorization, and access management</t>
  </si>
  <si>
    <t>Access control and security governance</t>
  </si>
  <si>
    <t>Information Security / IAM</t>
  </si>
  <si>
    <r>
      <rPr/>
      <t xml:space="preserve">Dialog public information - </t>
    </r>
    <r>
      <rPr>
        <color rgb="FF1155CC"/>
        <u/>
      </rPr>
      <t>https://business.dialog.lk/</t>
    </r>
  </si>
  <si>
    <t>A029</t>
  </si>
  <si>
    <t>Payment Provider Integrations</t>
  </si>
  <si>
    <t>External integrations supporting customer payment processing</t>
  </si>
  <si>
    <r>
      <rPr/>
      <t xml:space="preserve">Dialog Enterprise public information - </t>
    </r>
    <r>
      <rPr>
        <color rgb="FF1155CC"/>
        <u/>
      </rPr>
      <t>https://business.dialog.lk/</t>
    </r>
  </si>
  <si>
    <t>A030</t>
  </si>
  <si>
    <t>Technology Vendor Services</t>
  </si>
  <si>
    <t>External technology services supporting business and operational functions</t>
  </si>
  <si>
    <t>Business and technology operations</t>
  </si>
  <si>
    <t>Technology Operations / Vendor Management</t>
  </si>
  <si>
    <r>
      <rPr/>
      <t xml:space="preserve">Dialog Integrated Annual Report 2025 - </t>
    </r>
    <r>
      <rPr>
        <color rgb="FF1155CC"/>
        <u/>
      </rPr>
      <t>https://s3.ap-southeast-1.amazonaws.com/dlg.dialog.lk/s3fs-public/2026-05/Dialog-Integrated-Annual-Report-2025.pdf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</si>
</sst>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  <name val="Roboto"/>
    </font>
    <font>
      <color theme="0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1" fillId="4" fontId="4" numFmtId="0" xfId="0" applyAlignment="1" applyBorder="1" applyFont="1">
      <alignment readingOrder="0" shrinkToFit="0" vertical="center" wrapText="0"/>
    </xf>
    <xf borderId="0" fillId="5" fontId="5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3" fontId="1" numFmtId="0" xfId="0" applyAlignment="1" applyFont="1">
      <alignment horizontal="left" readingOrder="0"/>
    </xf>
    <xf borderId="0" fillId="4" fontId="4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6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Asset 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Assets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'Asset Classification Dashboard'!$B$8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'Asset Classification Dashboard'!$A$9:$A$14</c:f>
            </c:strRef>
          </c:cat>
          <c:val>
            <c:numRef>
              <c:f>'Asset Classification Dashboard'!$B$9:$B$14</c:f>
              <c:numCache/>
            </c:numRef>
          </c:val>
        </c:ser>
        <c:axId val="1059498883"/>
        <c:axId val="810722340"/>
      </c:barChart>
      <c:catAx>
        <c:axId val="1059498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722340"/>
      </c:catAx>
      <c:valAx>
        <c:axId val="810722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498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Assets by Criticality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'Asset Classification Dashboard'!$B$18</c:f>
            </c:strRef>
          </c:tx>
          <c:dPt>
            <c:idx val="0"/>
            <c:spPr>
              <a:solidFill>
                <a:srgbClr val="9800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'Asset Classification Dashboard'!$A$19:$A$21</c:f>
            </c:strRef>
          </c:cat>
          <c:val>
            <c:numRef>
              <c:f>'Asset Classification Dashboard'!$B$19:$B$21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CIA Classification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'Asset Classification Dashboard'!$B$27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'Asset Classification Dashboard'!$A$28:$A$30</c:f>
            </c:strRef>
          </c:cat>
          <c:val>
            <c:numRef>
              <c:f>'Asset Classification Dashboard'!$B$28:$B$30</c:f>
              <c:numCache/>
            </c:numRef>
          </c:val>
        </c:ser>
        <c:ser>
          <c:idx val="1"/>
          <c:order val="1"/>
          <c:tx>
            <c:strRef>
              <c:f>'Asset Classification Dashboard'!$C$27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'Asset Classification Dashboard'!$A$28:$A$30</c:f>
            </c:strRef>
          </c:cat>
          <c:val>
            <c:numRef>
              <c:f>'Asset Classification Dashboard'!$C$28:$C$30</c:f>
              <c:numCache/>
            </c:numRef>
          </c:val>
        </c:ser>
        <c:ser>
          <c:idx val="2"/>
          <c:order val="2"/>
          <c:tx>
            <c:strRef>
              <c:f>'Asset Classification Dashboard'!$D$27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'Asset Classification Dashboard'!$A$28:$A$30</c:f>
            </c:strRef>
          </c:cat>
          <c:val>
            <c:numRef>
              <c:f>'Asset Classification Dashboard'!$D$28:$D$30</c:f>
              <c:numCache/>
            </c:numRef>
          </c:val>
        </c:ser>
        <c:axId val="1955195554"/>
        <c:axId val="638387618"/>
      </c:barChart>
      <c:catAx>
        <c:axId val="1955195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Classification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387618"/>
      </c:catAx>
      <c:valAx>
        <c:axId val="638387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195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76200</xdr:rowOff>
    </xdr:from>
    <xdr:ext cx="11049000" cy="5876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3086100</xdr:colOff>
      <xdr:row>6</xdr:row>
      <xdr:rowOff>9525</xdr:rowOff>
    </xdr:from>
    <xdr:ext cx="54768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</xdr:row>
      <xdr:rowOff>9525</xdr:rowOff>
    </xdr:from>
    <xdr:ext cx="55721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1" displayName="Asset_Register" name="Asset_Register" id="1">
  <tableColumns count="11">
    <tableColumn name="Asset ID" id="1"/>
    <tableColumn name="Asset Name" id="2"/>
    <tableColumn name="Asset Category" id="3"/>
    <tableColumn name="Description" id="4"/>
    <tableColumn name="Business Function" id="5"/>
    <tableColumn name="Confidentiality" id="6"/>
    <tableColumn name="Integrity" id="7"/>
    <tableColumn name="Availability" id="8"/>
    <tableColumn name="Criticality" id="9"/>
    <tableColumn name="Asset Owner" id="10"/>
    <tableColumn name="Public Evidence" id="11"/>
  </tableColumns>
  <tableStyleInfo name="Asset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business.dialog.lk/" TargetMode="External"/><Relationship Id="rId22" Type="http://schemas.openxmlformats.org/officeDocument/2006/relationships/hyperlink" Target="https://business.dialog.lk/" TargetMode="External"/><Relationship Id="rId21" Type="http://schemas.openxmlformats.org/officeDocument/2006/relationships/hyperlink" Target="https://business.dialog.lk/" TargetMode="External"/><Relationship Id="rId24" Type="http://schemas.openxmlformats.org/officeDocument/2006/relationships/hyperlink" Target="https://s3.ap-southeast-1.amazonaws.com/dlg.dialog.lk/s3fs-public/2026-05/Dialog-Integrated-Annual-Report-2025.pdf" TargetMode="External"/><Relationship Id="rId23" Type="http://schemas.openxmlformats.org/officeDocument/2006/relationships/hyperlink" Target="https://business.dialog.lk/" TargetMode="External"/><Relationship Id="rId1" Type="http://schemas.openxmlformats.org/officeDocument/2006/relationships/hyperlink" Target="https://dialog.lk/privacy-notice" TargetMode="External"/><Relationship Id="rId2" Type="http://schemas.openxmlformats.org/officeDocument/2006/relationships/hyperlink" Target="https://dialog.lk/privacy-notice" TargetMode="External"/><Relationship Id="rId3" Type="http://schemas.openxmlformats.org/officeDocument/2006/relationships/hyperlink" Target="https://dialog.lk/business" TargetMode="External"/><Relationship Id="rId4" Type="http://schemas.openxmlformats.org/officeDocument/2006/relationships/hyperlink" Target="https://dialog.lk/privacy-noticeDialog" TargetMode="External"/><Relationship Id="rId9" Type="http://schemas.openxmlformats.org/officeDocument/2006/relationships/hyperlink" Target="https://dialog.lk/business" TargetMode="External"/><Relationship Id="rId26" Type="http://schemas.openxmlformats.org/officeDocument/2006/relationships/hyperlink" Target="https://business.dialog.lk/" TargetMode="External"/><Relationship Id="rId25" Type="http://schemas.openxmlformats.org/officeDocument/2006/relationships/hyperlink" Target="https://business.dialog.lk/" TargetMode="External"/><Relationship Id="rId28" Type="http://schemas.openxmlformats.org/officeDocument/2006/relationships/hyperlink" Target="https://business.dialog.lk/" TargetMode="External"/><Relationship Id="rId27" Type="http://schemas.openxmlformats.org/officeDocument/2006/relationships/hyperlink" Target="https://s3.ap-southeast-1.amazonaws.com/dlg.dialog.lk/s3fs-public/2026-05/Dialog-Integrated-Annual-Report-2025.pdf" TargetMode="External"/><Relationship Id="rId5" Type="http://schemas.openxmlformats.org/officeDocument/2006/relationships/hyperlink" Target="https://dialog.lk/privacy-notice" TargetMode="External"/><Relationship Id="rId6" Type="http://schemas.openxmlformats.org/officeDocument/2006/relationships/hyperlink" Target="https://dialog.lk/privacy-notice" TargetMode="External"/><Relationship Id="rId29" Type="http://schemas.openxmlformats.org/officeDocument/2006/relationships/hyperlink" Target="https://business.dialog.lk/" TargetMode="External"/><Relationship Id="rId7" Type="http://schemas.openxmlformats.org/officeDocument/2006/relationships/hyperlink" Target="https://dialog.lk/privacy-notice" TargetMode="External"/><Relationship Id="rId8" Type="http://schemas.openxmlformats.org/officeDocument/2006/relationships/hyperlink" Target="https://business.dialog.lk/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s3.ap-southeast-1.amazonaws.com/dlg.dialog.lk/s3fs-public/2026-05/Dialog-Integrated-Annual-Report-2025.pdf" TargetMode="External"/><Relationship Id="rId11" Type="http://schemas.openxmlformats.org/officeDocument/2006/relationships/hyperlink" Target="https://dialog.lk/business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dialog.lk/business" TargetMode="External"/><Relationship Id="rId13" Type="http://schemas.openxmlformats.org/officeDocument/2006/relationships/hyperlink" Target="https://s3.ap-southeast-1.amazonaws.com/dlg.dialog.lk/s3fs-public/2026-05/Dialog-Integrated-Annual-Report-2025.pdf" TargetMode="External"/><Relationship Id="rId12" Type="http://schemas.openxmlformats.org/officeDocument/2006/relationships/hyperlink" Target="https://business.dialog.lk/" TargetMode="External"/><Relationship Id="rId15" Type="http://schemas.openxmlformats.org/officeDocument/2006/relationships/hyperlink" Target="https://s3.ap-southeast-1.amazonaws.com/dlg.dialog.lk/s3fs-public/2026-05/Dialog-Integrated-Annual-Report-2025.pdf" TargetMode="External"/><Relationship Id="rId14" Type="http://schemas.openxmlformats.org/officeDocument/2006/relationships/hyperlink" Target="https://s3.ap-southeast-1.amazonaws.com/dlg.dialog.lk/s3fs-public/2026-05/Dialog-Integrated-Annual-Report-2025.pdf" TargetMode="External"/><Relationship Id="rId17" Type="http://schemas.openxmlformats.org/officeDocument/2006/relationships/hyperlink" Target="https://dialog.lk/business" TargetMode="External"/><Relationship Id="rId16" Type="http://schemas.openxmlformats.org/officeDocument/2006/relationships/hyperlink" Target="https://s3.ap-southeast-1.amazonaws.com/dlg.dialog.lk/s3fs-public/2026-05/Dialog-Integrated-Annual-Report-2025.pdf" TargetMode="External"/><Relationship Id="rId19" Type="http://schemas.openxmlformats.org/officeDocument/2006/relationships/hyperlink" Target="https://dialog.lk/business" TargetMode="External"/><Relationship Id="rId18" Type="http://schemas.openxmlformats.org/officeDocument/2006/relationships/hyperlink" Target="https://dialog.lk/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40.5"/>
    <col customWidth="1" min="3" max="3" width="27.5"/>
    <col customWidth="1" min="4" max="4" width="16.63"/>
    <col customWidth="1" min="5" max="5" width="28.63"/>
  </cols>
  <sheetData>
    <row r="1">
      <c r="A1" s="10" t="s">
        <v>89</v>
      </c>
      <c r="B1" s="11" t="s">
        <v>91</v>
      </c>
    </row>
    <row r="2">
      <c r="A2" s="12" t="s">
        <v>93</v>
      </c>
    </row>
    <row r="3">
      <c r="A3" s="13"/>
      <c r="B3" s="13"/>
      <c r="C3" s="13"/>
      <c r="D3" s="13"/>
      <c r="E3" s="13"/>
    </row>
    <row r="4">
      <c r="A4" s="14" t="s">
        <v>95</v>
      </c>
      <c r="B4" s="13"/>
      <c r="C4" s="15" t="s">
        <v>97</v>
      </c>
      <c r="D4" s="16"/>
      <c r="E4" s="17" t="s">
        <v>98</v>
      </c>
    </row>
    <row r="5">
      <c r="A5" s="13">
        <f>COUNTA('Asset Register'!A2:A31)</f>
        <v>30</v>
      </c>
      <c r="B5" s="13"/>
      <c r="C5" s="13">
        <f>COUNTIF('Asset Register'!I2:I31,"Critical")</f>
        <v>19</v>
      </c>
      <c r="D5" s="13"/>
      <c r="E5" s="13">
        <f>COUNTIF('Asset Register'!I2:I31,"High")</f>
        <v>11</v>
      </c>
    </row>
    <row r="6">
      <c r="A6" s="16"/>
      <c r="B6" s="13"/>
      <c r="C6" s="13"/>
      <c r="D6" s="13"/>
      <c r="E6" s="13"/>
    </row>
    <row r="7">
      <c r="A7" s="16"/>
      <c r="B7" s="13"/>
      <c r="C7" s="13"/>
      <c r="D7" s="13"/>
      <c r="E7" s="13"/>
    </row>
    <row r="8">
      <c r="A8" s="18" t="s">
        <v>103</v>
      </c>
      <c r="B8" s="19" t="s">
        <v>104</v>
      </c>
      <c r="C8" s="13"/>
      <c r="D8" s="13"/>
      <c r="E8" s="13"/>
    </row>
    <row r="9">
      <c r="A9" s="20" t="s">
        <v>13</v>
      </c>
      <c r="B9" s="13">
        <f>COUNTIF('Asset Register'!C:C,A9)</f>
        <v>8</v>
      </c>
      <c r="C9" s="13"/>
      <c r="D9" s="13"/>
      <c r="E9" s="13"/>
    </row>
    <row r="10">
      <c r="A10" s="20" t="s">
        <v>61</v>
      </c>
      <c r="B10" s="13">
        <f>COUNTIF('Asset Register'!C:C,A10)</f>
        <v>7</v>
      </c>
      <c r="C10" s="13"/>
      <c r="D10" s="13"/>
      <c r="E10" s="13"/>
    </row>
    <row r="11">
      <c r="A11" s="20" t="s">
        <v>83</v>
      </c>
      <c r="B11" s="13">
        <f>COUNTIF('Asset Register'!C:C,A11)</f>
        <v>10</v>
      </c>
      <c r="C11" s="13"/>
      <c r="D11" s="13"/>
      <c r="E11" s="13"/>
    </row>
    <row r="12">
      <c r="A12" s="20" t="s">
        <v>106</v>
      </c>
      <c r="B12" s="13">
        <f>COUNTIF('Asset Register'!C:C,A12)</f>
        <v>2</v>
      </c>
      <c r="C12" s="13"/>
      <c r="D12" s="13"/>
      <c r="E12" s="13"/>
    </row>
    <row r="13">
      <c r="A13" s="20" t="s">
        <v>109</v>
      </c>
      <c r="B13" s="13">
        <f>COUNTIF('Asset Register'!C:C,A13)</f>
        <v>1</v>
      </c>
      <c r="C13" s="13"/>
      <c r="D13" s="13"/>
      <c r="E13" s="13"/>
    </row>
    <row r="14">
      <c r="A14" s="20" t="s">
        <v>110</v>
      </c>
      <c r="B14" s="13">
        <f>COUNTIF('Asset Register'!C:C,A14)</f>
        <v>2</v>
      </c>
      <c r="C14" s="13"/>
      <c r="D14" s="13"/>
      <c r="E14" s="13"/>
    </row>
    <row r="18">
      <c r="A18" s="21" t="s">
        <v>8</v>
      </c>
      <c r="B18" s="21" t="s">
        <v>104</v>
      </c>
    </row>
    <row r="19">
      <c r="A19" s="12" t="s">
        <v>18</v>
      </c>
      <c r="B19" s="13">
        <f>COUNTIF('Asset Register'!I:I,A19)</f>
        <v>19</v>
      </c>
    </row>
    <row r="20">
      <c r="A20" s="12" t="s">
        <v>16</v>
      </c>
      <c r="B20" s="13">
        <f>COUNTIF('Asset Register'!I:I,A20)</f>
        <v>11</v>
      </c>
    </row>
    <row r="21">
      <c r="A21" s="12" t="s">
        <v>17</v>
      </c>
      <c r="B21" s="13">
        <f>COUNTIF('Asset Register'!I:I,A21)</f>
        <v>0</v>
      </c>
    </row>
    <row r="27">
      <c r="A27" s="22" t="s">
        <v>114</v>
      </c>
      <c r="B27" s="22" t="s">
        <v>5</v>
      </c>
      <c r="C27" s="22" t="s">
        <v>6</v>
      </c>
      <c r="D27" s="22" t="s">
        <v>7</v>
      </c>
    </row>
    <row r="28">
      <c r="A28" s="12" t="s">
        <v>16</v>
      </c>
      <c r="B28" s="13">
        <f>COUNTIF('Asset Register'!F:F,$A28)</f>
        <v>25</v>
      </c>
      <c r="C28" s="13">
        <f>COUNTIF('Asset Register'!G:G,$A28)</f>
        <v>30</v>
      </c>
      <c r="D28" s="13">
        <f>COUNTIF('Asset Register'!H:H,$A28)</f>
        <v>23</v>
      </c>
    </row>
    <row r="29">
      <c r="A29" s="12" t="s">
        <v>17</v>
      </c>
      <c r="B29" s="13">
        <f>COUNTIF('Asset Register'!F:F,$A29)</f>
        <v>5</v>
      </c>
      <c r="C29" s="13">
        <f>COUNTIF('Asset Register'!G:G,$A29)</f>
        <v>0</v>
      </c>
      <c r="D29" s="13">
        <f>COUNTIF('Asset Register'!H:H,$A29)</f>
        <v>7</v>
      </c>
    </row>
    <row r="30">
      <c r="A30" s="12" t="s">
        <v>119</v>
      </c>
      <c r="B30" s="13">
        <f>COUNTIF('Asset Register'!F:F,$A30)</f>
        <v>0</v>
      </c>
      <c r="C30" s="13">
        <f>COUNTIF('Asset Register'!G:G,$A30)</f>
        <v>0</v>
      </c>
      <c r="D30" s="13">
        <f>COUNTIF('Asset Register'!H:H,$A30)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30.63"/>
    <col customWidth="1" min="3" max="3" width="22.63"/>
    <col customWidth="1" min="4" max="4" width="62.88"/>
    <col customWidth="1" min="5" max="5" width="35.38"/>
    <col customWidth="1" min="6" max="6" width="13.88"/>
    <col customWidth="1" min="10" max="10" width="37.13"/>
    <col customWidth="1" min="11" max="11" width="12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16</v>
      </c>
      <c r="H2" s="5" t="s">
        <v>17</v>
      </c>
      <c r="I2" s="6" t="s">
        <v>18</v>
      </c>
      <c r="J2" s="3" t="s">
        <v>19</v>
      </c>
      <c r="K2" s="7" t="s">
        <v>20</v>
      </c>
    </row>
    <row r="3" ht="22.5" customHeight="1">
      <c r="A3" s="3" t="s">
        <v>21</v>
      </c>
      <c r="B3" s="3" t="s">
        <v>22</v>
      </c>
      <c r="C3" s="3" t="s">
        <v>13</v>
      </c>
      <c r="D3" s="3" t="s">
        <v>23</v>
      </c>
      <c r="E3" s="3" t="s">
        <v>15</v>
      </c>
      <c r="F3" s="4" t="s">
        <v>16</v>
      </c>
      <c r="G3" s="4" t="s">
        <v>16</v>
      </c>
      <c r="H3" s="4" t="s">
        <v>16</v>
      </c>
      <c r="I3" s="6" t="s">
        <v>18</v>
      </c>
      <c r="J3" s="3" t="s">
        <v>19</v>
      </c>
      <c r="K3" s="7" t="s">
        <v>24</v>
      </c>
    </row>
    <row r="4" ht="22.5" customHeight="1">
      <c r="A4" s="3" t="s">
        <v>25</v>
      </c>
      <c r="B4" s="3" t="s">
        <v>26</v>
      </c>
      <c r="C4" s="3" t="s">
        <v>13</v>
      </c>
      <c r="D4" s="3" t="s">
        <v>27</v>
      </c>
      <c r="E4" s="3" t="s">
        <v>28</v>
      </c>
      <c r="F4" s="4" t="s">
        <v>16</v>
      </c>
      <c r="G4" s="4" t="s">
        <v>16</v>
      </c>
      <c r="H4" s="4" t="s">
        <v>16</v>
      </c>
      <c r="I4" s="6" t="s">
        <v>18</v>
      </c>
      <c r="J4" s="3" t="s">
        <v>29</v>
      </c>
      <c r="K4" s="7" t="s">
        <v>30</v>
      </c>
    </row>
    <row r="5" ht="22.5" customHeight="1">
      <c r="A5" s="3" t="s">
        <v>31</v>
      </c>
      <c r="B5" s="3" t="s">
        <v>32</v>
      </c>
      <c r="C5" s="3" t="s">
        <v>13</v>
      </c>
      <c r="D5" s="3" t="s">
        <v>33</v>
      </c>
      <c r="E5" s="3" t="s">
        <v>34</v>
      </c>
      <c r="F5" s="4" t="s">
        <v>16</v>
      </c>
      <c r="G5" s="4" t="s">
        <v>16</v>
      </c>
      <c r="H5" s="4" t="s">
        <v>16</v>
      </c>
      <c r="I5" s="6" t="s">
        <v>18</v>
      </c>
      <c r="J5" s="3" t="s">
        <v>35</v>
      </c>
      <c r="K5" s="7" t="s">
        <v>36</v>
      </c>
    </row>
    <row r="6" ht="22.5" customHeight="1">
      <c r="A6" s="3" t="s">
        <v>37</v>
      </c>
      <c r="B6" s="3" t="s">
        <v>38</v>
      </c>
      <c r="C6" s="3" t="s">
        <v>13</v>
      </c>
      <c r="D6" s="3" t="s">
        <v>39</v>
      </c>
      <c r="E6" s="3" t="s">
        <v>40</v>
      </c>
      <c r="F6" s="4" t="s">
        <v>16</v>
      </c>
      <c r="G6" s="4" t="s">
        <v>16</v>
      </c>
      <c r="H6" s="5" t="s">
        <v>17</v>
      </c>
      <c r="I6" s="4" t="s">
        <v>16</v>
      </c>
      <c r="J6" s="3" t="s">
        <v>41</v>
      </c>
      <c r="K6" s="7" t="s">
        <v>42</v>
      </c>
    </row>
    <row r="7" ht="22.5" customHeight="1">
      <c r="A7" s="3" t="s">
        <v>43</v>
      </c>
      <c r="B7" s="3" t="s">
        <v>44</v>
      </c>
      <c r="C7" s="3" t="s">
        <v>13</v>
      </c>
      <c r="D7" s="3" t="s">
        <v>45</v>
      </c>
      <c r="E7" s="3" t="s">
        <v>40</v>
      </c>
      <c r="F7" s="4" t="s">
        <v>16</v>
      </c>
      <c r="G7" s="4" t="s">
        <v>16</v>
      </c>
      <c r="H7" s="5" t="s">
        <v>17</v>
      </c>
      <c r="I7" s="4" t="s">
        <v>16</v>
      </c>
      <c r="J7" s="3" t="s">
        <v>41</v>
      </c>
      <c r="K7" s="7" t="s">
        <v>46</v>
      </c>
    </row>
    <row r="8" ht="22.5" customHeight="1">
      <c r="A8" s="3" t="s">
        <v>47</v>
      </c>
      <c r="B8" s="3" t="s">
        <v>48</v>
      </c>
      <c r="C8" s="3" t="s">
        <v>13</v>
      </c>
      <c r="D8" s="3" t="s">
        <v>49</v>
      </c>
      <c r="E8" s="3" t="s">
        <v>50</v>
      </c>
      <c r="F8" s="4" t="s">
        <v>16</v>
      </c>
      <c r="G8" s="4" t="s">
        <v>16</v>
      </c>
      <c r="H8" s="5" t="s">
        <v>17</v>
      </c>
      <c r="I8" s="4" t="s">
        <v>16</v>
      </c>
      <c r="J8" s="3" t="s">
        <v>51</v>
      </c>
      <c r="K8" s="7" t="s">
        <v>52</v>
      </c>
    </row>
    <row r="9" ht="22.5" customHeight="1">
      <c r="A9" s="3" t="s">
        <v>53</v>
      </c>
      <c r="B9" s="3" t="s">
        <v>54</v>
      </c>
      <c r="C9" s="3" t="s">
        <v>13</v>
      </c>
      <c r="D9" s="3" t="s">
        <v>55</v>
      </c>
      <c r="E9" s="3" t="s">
        <v>56</v>
      </c>
      <c r="F9" s="4" t="s">
        <v>16</v>
      </c>
      <c r="G9" s="4" t="s">
        <v>16</v>
      </c>
      <c r="H9" s="4" t="s">
        <v>16</v>
      </c>
      <c r="I9" s="4" t="s">
        <v>16</v>
      </c>
      <c r="J9" s="3" t="s">
        <v>57</v>
      </c>
      <c r="K9" s="7" t="s">
        <v>58</v>
      </c>
    </row>
    <row r="10" ht="22.5" customHeight="1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5" t="s">
        <v>17</v>
      </c>
      <c r="G10" s="4" t="s">
        <v>16</v>
      </c>
      <c r="H10" s="4" t="s">
        <v>16</v>
      </c>
      <c r="I10" s="4" t="s">
        <v>16</v>
      </c>
      <c r="J10" s="3" t="s">
        <v>64</v>
      </c>
      <c r="K10" s="7" t="s">
        <v>65</v>
      </c>
    </row>
    <row r="11" ht="22.5" customHeight="1">
      <c r="A11" s="3" t="s">
        <v>66</v>
      </c>
      <c r="B11" s="3" t="s">
        <v>67</v>
      </c>
      <c r="C11" s="3" t="s">
        <v>61</v>
      </c>
      <c r="D11" s="3" t="s">
        <v>68</v>
      </c>
      <c r="E11" s="3" t="s">
        <v>63</v>
      </c>
      <c r="F11" s="5" t="s">
        <v>17</v>
      </c>
      <c r="G11" s="4" t="s">
        <v>16</v>
      </c>
      <c r="H11" s="4" t="s">
        <v>16</v>
      </c>
      <c r="I11" s="4" t="s">
        <v>16</v>
      </c>
      <c r="J11" s="3" t="s">
        <v>64</v>
      </c>
      <c r="K11" s="7" t="s">
        <v>69</v>
      </c>
      <c r="L11" s="8"/>
    </row>
    <row r="12" ht="22.5" customHeight="1">
      <c r="A12" s="3" t="s">
        <v>70</v>
      </c>
      <c r="B12" s="3" t="s">
        <v>71</v>
      </c>
      <c r="C12" s="3" t="s">
        <v>61</v>
      </c>
      <c r="D12" s="3" t="s">
        <v>72</v>
      </c>
      <c r="E12" s="3" t="s">
        <v>34</v>
      </c>
      <c r="F12" s="4" t="s">
        <v>16</v>
      </c>
      <c r="G12" s="4" t="s">
        <v>16</v>
      </c>
      <c r="H12" s="4" t="s">
        <v>16</v>
      </c>
      <c r="I12" s="9" t="s">
        <v>18</v>
      </c>
      <c r="J12" s="3" t="s">
        <v>73</v>
      </c>
      <c r="K12" s="7" t="s">
        <v>74</v>
      </c>
    </row>
    <row r="13" ht="22.5" customHeight="1">
      <c r="A13" s="3" t="s">
        <v>75</v>
      </c>
      <c r="B13" s="3" t="s">
        <v>76</v>
      </c>
      <c r="C13" s="3" t="s">
        <v>61</v>
      </c>
      <c r="D13" s="3" t="s">
        <v>77</v>
      </c>
      <c r="E13" s="3" t="s">
        <v>78</v>
      </c>
      <c r="F13" s="4" t="s">
        <v>16</v>
      </c>
      <c r="G13" s="4" t="s">
        <v>16</v>
      </c>
      <c r="H13" s="4" t="s">
        <v>16</v>
      </c>
      <c r="I13" s="9" t="s">
        <v>18</v>
      </c>
      <c r="J13" s="3" t="s">
        <v>79</v>
      </c>
      <c r="K13" s="7" t="s">
        <v>80</v>
      </c>
    </row>
    <row r="14" ht="22.5" customHeight="1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40</v>
      </c>
      <c r="F14" s="4" t="s">
        <v>16</v>
      </c>
      <c r="G14" s="4" t="s">
        <v>16</v>
      </c>
      <c r="H14" s="4" t="s">
        <v>16</v>
      </c>
      <c r="I14" s="9" t="s">
        <v>18</v>
      </c>
      <c r="J14" s="3" t="s">
        <v>41</v>
      </c>
      <c r="K14" s="7" t="s">
        <v>85</v>
      </c>
    </row>
    <row r="15" ht="22.5" customHeight="1">
      <c r="A15" s="3" t="s">
        <v>86</v>
      </c>
      <c r="B15" s="3" t="s">
        <v>87</v>
      </c>
      <c r="C15" s="3" t="s">
        <v>83</v>
      </c>
      <c r="D15" s="3" t="s">
        <v>88</v>
      </c>
      <c r="E15" s="3" t="s">
        <v>40</v>
      </c>
      <c r="F15" s="4" t="s">
        <v>16</v>
      </c>
      <c r="G15" s="4" t="s">
        <v>16</v>
      </c>
      <c r="H15" s="4" t="s">
        <v>16</v>
      </c>
      <c r="I15" s="9" t="s">
        <v>18</v>
      </c>
      <c r="J15" s="3" t="s">
        <v>41</v>
      </c>
      <c r="K15" s="7" t="s">
        <v>90</v>
      </c>
    </row>
    <row r="16" ht="22.5" customHeight="1">
      <c r="A16" s="3" t="s">
        <v>92</v>
      </c>
      <c r="B16" s="3" t="s">
        <v>94</v>
      </c>
      <c r="C16" s="3" t="s">
        <v>83</v>
      </c>
      <c r="D16" s="3" t="s">
        <v>96</v>
      </c>
      <c r="E16" s="3" t="s">
        <v>40</v>
      </c>
      <c r="F16" s="4" t="s">
        <v>16</v>
      </c>
      <c r="G16" s="4" t="s">
        <v>16</v>
      </c>
      <c r="H16" s="4" t="s">
        <v>16</v>
      </c>
      <c r="I16" s="9" t="s">
        <v>18</v>
      </c>
      <c r="J16" s="3" t="s">
        <v>41</v>
      </c>
      <c r="K16" s="7" t="s">
        <v>99</v>
      </c>
    </row>
    <row r="17" ht="22.5" customHeight="1">
      <c r="A17" s="3" t="s">
        <v>100</v>
      </c>
      <c r="B17" s="3" t="s">
        <v>101</v>
      </c>
      <c r="C17" s="3" t="s">
        <v>83</v>
      </c>
      <c r="D17" s="3" t="s">
        <v>102</v>
      </c>
      <c r="E17" s="3" t="s">
        <v>40</v>
      </c>
      <c r="F17" s="4" t="s">
        <v>16</v>
      </c>
      <c r="G17" s="4" t="s">
        <v>16</v>
      </c>
      <c r="H17" s="4" t="s">
        <v>16</v>
      </c>
      <c r="I17" s="9" t="s">
        <v>18</v>
      </c>
      <c r="J17" s="3" t="s">
        <v>41</v>
      </c>
      <c r="K17" s="7" t="s">
        <v>105</v>
      </c>
    </row>
    <row r="18" ht="22.5" customHeight="1">
      <c r="A18" s="3" t="s">
        <v>107</v>
      </c>
      <c r="B18" s="3" t="s">
        <v>108</v>
      </c>
      <c r="C18" s="3" t="s">
        <v>83</v>
      </c>
      <c r="D18" s="3" t="s">
        <v>111</v>
      </c>
      <c r="E18" s="3" t="s">
        <v>112</v>
      </c>
      <c r="F18" s="4" t="s">
        <v>16</v>
      </c>
      <c r="G18" s="4" t="s">
        <v>16</v>
      </c>
      <c r="H18" s="4" t="s">
        <v>16</v>
      </c>
      <c r="I18" s="9" t="s">
        <v>18</v>
      </c>
      <c r="J18" s="3" t="s">
        <v>113</v>
      </c>
      <c r="K18" s="7" t="s">
        <v>115</v>
      </c>
    </row>
    <row r="19" ht="22.5" customHeight="1">
      <c r="A19" s="3" t="s">
        <v>116</v>
      </c>
      <c r="B19" s="3" t="s">
        <v>117</v>
      </c>
      <c r="C19" s="3" t="s">
        <v>83</v>
      </c>
      <c r="D19" s="3" t="s">
        <v>118</v>
      </c>
      <c r="E19" s="3" t="s">
        <v>112</v>
      </c>
      <c r="F19" s="4" t="s">
        <v>16</v>
      </c>
      <c r="G19" s="4" t="s">
        <v>16</v>
      </c>
      <c r="H19" s="4" t="s">
        <v>16</v>
      </c>
      <c r="I19" s="9" t="s">
        <v>18</v>
      </c>
      <c r="J19" s="3" t="s">
        <v>113</v>
      </c>
      <c r="K19" s="7" t="s">
        <v>120</v>
      </c>
    </row>
    <row r="20" ht="22.5" customHeight="1">
      <c r="A20" s="3" t="s">
        <v>121</v>
      </c>
      <c r="B20" s="3" t="s">
        <v>122</v>
      </c>
      <c r="C20" s="3" t="s">
        <v>83</v>
      </c>
      <c r="D20" s="3" t="s">
        <v>123</v>
      </c>
      <c r="E20" s="3" t="s">
        <v>124</v>
      </c>
      <c r="F20" s="4" t="s">
        <v>16</v>
      </c>
      <c r="G20" s="4" t="s">
        <v>16</v>
      </c>
      <c r="H20" s="4" t="s">
        <v>16</v>
      </c>
      <c r="I20" s="9" t="s">
        <v>18</v>
      </c>
      <c r="J20" s="3" t="s">
        <v>113</v>
      </c>
      <c r="K20" s="7" t="s">
        <v>125</v>
      </c>
    </row>
    <row r="21" ht="22.5" customHeight="1">
      <c r="A21" s="3" t="s">
        <v>126</v>
      </c>
      <c r="B21" s="3" t="s">
        <v>127</v>
      </c>
      <c r="C21" s="3" t="s">
        <v>83</v>
      </c>
      <c r="D21" s="3" t="s">
        <v>128</v>
      </c>
      <c r="E21" s="3" t="s">
        <v>129</v>
      </c>
      <c r="F21" s="4" t="s">
        <v>16</v>
      </c>
      <c r="G21" s="4" t="s">
        <v>16</v>
      </c>
      <c r="H21" s="4" t="s">
        <v>16</v>
      </c>
      <c r="I21" s="9" t="s">
        <v>18</v>
      </c>
      <c r="J21" s="3" t="s">
        <v>130</v>
      </c>
      <c r="K21" s="7" t="s">
        <v>131</v>
      </c>
    </row>
    <row r="22" ht="22.5" customHeight="1">
      <c r="A22" s="3" t="s">
        <v>132</v>
      </c>
      <c r="B22" s="3" t="s">
        <v>133</v>
      </c>
      <c r="C22" s="3" t="s">
        <v>83</v>
      </c>
      <c r="D22" s="3" t="s">
        <v>134</v>
      </c>
      <c r="E22" s="3" t="s">
        <v>135</v>
      </c>
      <c r="F22" s="4" t="s">
        <v>16</v>
      </c>
      <c r="G22" s="4" t="s">
        <v>16</v>
      </c>
      <c r="H22" s="4" t="s">
        <v>16</v>
      </c>
      <c r="I22" s="9" t="s">
        <v>18</v>
      </c>
      <c r="J22" s="3" t="s">
        <v>113</v>
      </c>
      <c r="K22" s="7" t="s">
        <v>136</v>
      </c>
    </row>
    <row r="23" ht="22.5" customHeight="1">
      <c r="A23" s="3" t="s">
        <v>137</v>
      </c>
      <c r="B23" s="3" t="s">
        <v>138</v>
      </c>
      <c r="C23" s="3" t="s">
        <v>61</v>
      </c>
      <c r="D23" s="3" t="s">
        <v>139</v>
      </c>
      <c r="E23" s="3" t="s">
        <v>140</v>
      </c>
      <c r="F23" s="4" t="s">
        <v>16</v>
      </c>
      <c r="G23" s="4" t="s">
        <v>16</v>
      </c>
      <c r="H23" s="4" t="s">
        <v>16</v>
      </c>
      <c r="I23" s="4" t="s">
        <v>16</v>
      </c>
      <c r="J23" s="3" t="s">
        <v>141</v>
      </c>
      <c r="K23" s="7" t="s">
        <v>142</v>
      </c>
    </row>
    <row r="24" ht="22.5" customHeight="1">
      <c r="A24" s="3" t="s">
        <v>143</v>
      </c>
      <c r="B24" s="3" t="s">
        <v>144</v>
      </c>
      <c r="C24" s="3" t="s">
        <v>61</v>
      </c>
      <c r="D24" s="3" t="s">
        <v>145</v>
      </c>
      <c r="E24" s="3" t="s">
        <v>146</v>
      </c>
      <c r="F24" s="4" t="s">
        <v>16</v>
      </c>
      <c r="G24" s="4" t="s">
        <v>16</v>
      </c>
      <c r="H24" s="4" t="s">
        <v>16</v>
      </c>
      <c r="I24" s="9" t="s">
        <v>18</v>
      </c>
      <c r="J24" s="3" t="s">
        <v>79</v>
      </c>
      <c r="K24" s="7" t="s">
        <v>147</v>
      </c>
    </row>
    <row r="25" ht="22.5" customHeight="1">
      <c r="A25" s="3" t="s">
        <v>148</v>
      </c>
      <c r="B25" s="3" t="s">
        <v>149</v>
      </c>
      <c r="C25" s="3" t="s">
        <v>61</v>
      </c>
      <c r="D25" s="3" t="s">
        <v>150</v>
      </c>
      <c r="E25" s="3" t="s">
        <v>151</v>
      </c>
      <c r="F25" s="4" t="s">
        <v>16</v>
      </c>
      <c r="G25" s="4" t="s">
        <v>16</v>
      </c>
      <c r="H25" s="5" t="s">
        <v>17</v>
      </c>
      <c r="I25" s="4" t="s">
        <v>16</v>
      </c>
      <c r="J25" s="3" t="s">
        <v>113</v>
      </c>
      <c r="K25" s="7" t="s">
        <v>152</v>
      </c>
    </row>
    <row r="26" ht="22.5" customHeight="1">
      <c r="A26" s="3" t="s">
        <v>153</v>
      </c>
      <c r="B26" s="3" t="s">
        <v>154</v>
      </c>
      <c r="C26" s="3" t="s">
        <v>83</v>
      </c>
      <c r="D26" s="3" t="s">
        <v>155</v>
      </c>
      <c r="E26" s="3" t="s">
        <v>151</v>
      </c>
      <c r="F26" s="5" t="s">
        <v>17</v>
      </c>
      <c r="G26" s="4" t="s">
        <v>16</v>
      </c>
      <c r="H26" s="5" t="s">
        <v>17</v>
      </c>
      <c r="I26" s="4" t="s">
        <v>16</v>
      </c>
      <c r="J26" s="3" t="s">
        <v>141</v>
      </c>
      <c r="K26" s="7" t="s">
        <v>156</v>
      </c>
    </row>
    <row r="27" ht="22.5" customHeight="1">
      <c r="A27" s="3" t="s">
        <v>157</v>
      </c>
      <c r="B27" s="3" t="s">
        <v>158</v>
      </c>
      <c r="C27" s="3" t="s">
        <v>106</v>
      </c>
      <c r="D27" s="3" t="s">
        <v>159</v>
      </c>
      <c r="E27" s="3" t="s">
        <v>160</v>
      </c>
      <c r="F27" s="4" t="s">
        <v>16</v>
      </c>
      <c r="G27" s="4" t="s">
        <v>16</v>
      </c>
      <c r="H27" s="4" t="s">
        <v>16</v>
      </c>
      <c r="I27" s="9" t="s">
        <v>18</v>
      </c>
      <c r="J27" s="3" t="s">
        <v>57</v>
      </c>
      <c r="K27" s="7" t="s">
        <v>161</v>
      </c>
    </row>
    <row r="28" ht="22.5" customHeight="1">
      <c r="A28" s="3" t="s">
        <v>162</v>
      </c>
      <c r="B28" s="3" t="s">
        <v>163</v>
      </c>
      <c r="C28" s="3" t="s">
        <v>109</v>
      </c>
      <c r="D28" s="3" t="s">
        <v>164</v>
      </c>
      <c r="E28" s="3" t="s">
        <v>165</v>
      </c>
      <c r="F28" s="5" t="s">
        <v>17</v>
      </c>
      <c r="G28" s="4" t="s">
        <v>16</v>
      </c>
      <c r="H28" s="4" t="s">
        <v>16</v>
      </c>
      <c r="I28" s="4" t="s">
        <v>16</v>
      </c>
      <c r="J28" s="3" t="s">
        <v>57</v>
      </c>
      <c r="K28" s="7" t="s">
        <v>166</v>
      </c>
    </row>
    <row r="29" ht="22.5" customHeight="1">
      <c r="A29" s="3" t="s">
        <v>167</v>
      </c>
      <c r="B29" s="3" t="s">
        <v>168</v>
      </c>
      <c r="C29" s="3" t="s">
        <v>106</v>
      </c>
      <c r="D29" s="3" t="s">
        <v>169</v>
      </c>
      <c r="E29" s="3" t="s">
        <v>170</v>
      </c>
      <c r="F29" s="4" t="s">
        <v>16</v>
      </c>
      <c r="G29" s="4" t="s">
        <v>16</v>
      </c>
      <c r="H29" s="4" t="s">
        <v>16</v>
      </c>
      <c r="I29" s="9" t="s">
        <v>18</v>
      </c>
      <c r="J29" s="3" t="s">
        <v>171</v>
      </c>
      <c r="K29" s="7" t="s">
        <v>172</v>
      </c>
    </row>
    <row r="30" ht="22.5" customHeight="1">
      <c r="A30" s="3" t="s">
        <v>173</v>
      </c>
      <c r="B30" s="3" t="s">
        <v>174</v>
      </c>
      <c r="C30" s="3" t="s">
        <v>110</v>
      </c>
      <c r="D30" s="3" t="s">
        <v>175</v>
      </c>
      <c r="E30" s="3" t="s">
        <v>34</v>
      </c>
      <c r="F30" s="4" t="s">
        <v>16</v>
      </c>
      <c r="G30" s="4" t="s">
        <v>16</v>
      </c>
      <c r="H30" s="4" t="s">
        <v>16</v>
      </c>
      <c r="I30" s="9" t="s">
        <v>18</v>
      </c>
      <c r="J30" s="3" t="s">
        <v>35</v>
      </c>
      <c r="K30" s="7" t="s">
        <v>176</v>
      </c>
    </row>
    <row r="31" ht="22.5" customHeight="1">
      <c r="A31" s="3" t="s">
        <v>177</v>
      </c>
      <c r="B31" s="3" t="s">
        <v>178</v>
      </c>
      <c r="C31" s="3" t="s">
        <v>110</v>
      </c>
      <c r="D31" s="3" t="s">
        <v>179</v>
      </c>
      <c r="E31" s="3" t="s">
        <v>180</v>
      </c>
      <c r="F31" s="5" t="s">
        <v>17</v>
      </c>
      <c r="G31" s="4" t="s">
        <v>16</v>
      </c>
      <c r="H31" s="5" t="s">
        <v>17</v>
      </c>
      <c r="I31" s="4" t="s">
        <v>16</v>
      </c>
      <c r="J31" s="3" t="s">
        <v>181</v>
      </c>
      <c r="K31" s="7" t="s">
        <v>182</v>
      </c>
    </row>
  </sheetData>
  <conditionalFormatting sqref="L11">
    <cfRule type="notContainsBlanks" dxfId="5" priority="1">
      <formula>LEN(TRIM(L11))&gt;0</formula>
    </cfRule>
  </conditionalFormatting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</hyperlinks>
  <drawing r:id="rId31"/>
  <tableParts count="1">
    <tablePart r:id="rId33"/>
  </tableParts>
</worksheet>
</file>