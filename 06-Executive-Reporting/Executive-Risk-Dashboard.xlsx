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44468874CC0CB12654D649F6B4124B38CF36C404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ecutive Dashboard" sheetId="1" r:id="rId1"/>
    <sheet name="Risk Summary" sheetId="2" r:id="rId2"/>
    <sheet name="Gap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E27" i="1"/>
  <c r="B27" i="1"/>
  <c r="G26" i="1"/>
  <c r="F26" i="1"/>
  <c r="E26" i="1"/>
  <c r="B26" i="1"/>
  <c r="G25" i="1"/>
  <c r="F25" i="1"/>
  <c r="E25" i="1"/>
  <c r="B25" i="1"/>
  <c r="G24" i="1"/>
  <c r="F24" i="1"/>
  <c r="E24" i="1"/>
  <c r="B24" i="1"/>
  <c r="G10" i="1"/>
  <c r="F10" i="1"/>
  <c r="E10" i="1"/>
  <c r="B10" i="1"/>
  <c r="B9" i="1"/>
  <c r="G8" i="1"/>
  <c r="F8" i="1"/>
  <c r="E8" i="1"/>
  <c r="B8" i="1"/>
  <c r="G7" i="1"/>
  <c r="F7" i="1"/>
  <c r="E7" i="1"/>
  <c r="B7" i="1"/>
  <c r="G6" i="1"/>
  <c r="F6" i="1"/>
  <c r="E6" i="1"/>
  <c r="B6" i="1"/>
</calcChain>
</file>

<file path=xl/sharedStrings.xml><?xml version="1.0" encoding="utf-8"?>
<sst xmlns="http://schemas.openxmlformats.org/spreadsheetml/2006/main" count="243" uniqueCount="126">
  <si>
    <t>Dialog Axiata PLC - Executive Cybersecurity Risk Dashboard</t>
  </si>
  <si>
    <t>Public-source analytical assessment - not an internal audit or vulnerability assessment</t>
  </si>
  <si>
    <t>KPI</t>
  </si>
  <si>
    <t>Value</t>
  </si>
  <si>
    <t>Risk Stage</t>
  </si>
  <si>
    <t>Critical</t>
  </si>
  <si>
    <t>High</t>
  </si>
  <si>
    <t>Medium</t>
  </si>
  <si>
    <t>Total Risks Assessed</t>
  </si>
  <si>
    <t>Inherent</t>
  </si>
  <si>
    <t>Enterprise Risks</t>
  </si>
  <si>
    <t>Current Residual</t>
  </si>
  <si>
    <t>OWASP Top 10:2025 Risks</t>
  </si>
  <si>
    <t>Expected Post-Treatment</t>
  </si>
  <si>
    <t>Control Gaps</t>
  </si>
  <si>
    <t>Critical Treatment Priorities</t>
  </si>
  <si>
    <t>Treatment Priority</t>
  </si>
  <si>
    <t>Management Priority Area</t>
  </si>
  <si>
    <t>Why It Matters</t>
  </si>
  <si>
    <t>Secure Software Development Lifecycle</t>
  </si>
  <si>
    <t>Largest concentrated gap area and directly linked to multiple OWASP Top 10:2025 scenarios.</t>
  </si>
  <si>
    <t>Identity and Access Governance</t>
  </si>
  <si>
    <t>Affects data breach, credential compromise, insider risk, broken access control and authentication failure.</t>
  </si>
  <si>
    <t>Software Supply Chain and Third-Party Assurance</t>
  </si>
  <si>
    <t>Addresses vendor compromise, dependencies, CI/CD integrity and contractual security responsibilities.</t>
  </si>
  <si>
    <t>Security Monitoring and Incident Detection</t>
  </si>
  <si>
    <t>Required to identify malicious activity quickly and support investigation and response.</t>
  </si>
  <si>
    <t>Cryptographic Governance</t>
  </si>
  <si>
    <t>Protects sensitive customer and payment information and supports privacy obligations.</t>
  </si>
  <si>
    <t>Backup, Recovery and Resilience</t>
  </si>
  <si>
    <t>Reduces operational impact and supports restoration of critical telecommunications and digital services.</t>
  </si>
  <si>
    <t>Control Effectiveness Measurement</t>
  </si>
  <si>
    <t>Provides management evidence that security controls are operating and reducing risk as intended.</t>
  </si>
  <si>
    <t>Control Gap Priority</t>
  </si>
  <si>
    <t>Count</t>
  </si>
  <si>
    <t>Metric</t>
  </si>
  <si>
    <t>Expected</t>
  </si>
  <si>
    <t>Average Risk Score</t>
  </si>
  <si>
    <t>Critical Risks</t>
  </si>
  <si>
    <t>High Risks</t>
  </si>
  <si>
    <t>Low</t>
  </si>
  <si>
    <t>Medium/Low Risks</t>
  </si>
  <si>
    <t>Risk Heatmap - Inherent</t>
  </si>
  <si>
    <t>Impact 1</t>
  </si>
  <si>
    <t>Impact 2</t>
  </si>
  <si>
    <t>Impact 3</t>
  </si>
  <si>
    <t>Impact 4</t>
  </si>
  <si>
    <t>Impact 5</t>
  </si>
  <si>
    <t>Likelihood 5</t>
  </si>
  <si>
    <t>Likelihood 4</t>
  </si>
  <si>
    <t>Likelihood 3</t>
  </si>
  <si>
    <t>Likelihood 2</t>
  </si>
  <si>
    <t>Likelihood 1</t>
  </si>
  <si>
    <t>Note</t>
  </si>
  <si>
    <t>Counts reflect the current analytical risk scenarios.</t>
  </si>
  <si>
    <t>Risk ID</t>
  </si>
  <si>
    <t>Risk</t>
  </si>
  <si>
    <t>Risk Group</t>
  </si>
  <si>
    <t>Inherent Score</t>
  </si>
  <si>
    <t>Inherent Rating</t>
  </si>
  <si>
    <t>Current Residual Score</t>
  </si>
  <si>
    <t>Current Residual Rating</t>
  </si>
  <si>
    <t>Expected Post-Treatment Score</t>
  </si>
  <si>
    <t>Expected Post-Treatment Rating</t>
  </si>
  <si>
    <t>R001</t>
  </si>
  <si>
    <t>Customer Data Breach</t>
  </si>
  <si>
    <t>Enterprise</t>
  </si>
  <si>
    <t>R002</t>
  </si>
  <si>
    <t>Credential Compromise</t>
  </si>
  <si>
    <t>R003</t>
  </si>
  <si>
    <t>Payment Fraud / Compromise</t>
  </si>
  <si>
    <t>R004</t>
  </si>
  <si>
    <t>DDoS / Service Disruption</t>
  </si>
  <si>
    <t>R005</t>
  </si>
  <si>
    <t>Cloud Misconfiguration</t>
  </si>
  <si>
    <t>R006</t>
  </si>
  <si>
    <t>Application Vulnerability</t>
  </si>
  <si>
    <t>R007</t>
  </si>
  <si>
    <t>Phishing / Employee Account Compromise</t>
  </si>
  <si>
    <t>R008</t>
  </si>
  <si>
    <t>Insider Threat</t>
  </si>
  <si>
    <t>R009</t>
  </si>
  <si>
    <t>Third-Party / Supply-Chain Compromise</t>
  </si>
  <si>
    <t>R010</t>
  </si>
  <si>
    <t>Backup / Recovery Failure</t>
  </si>
  <si>
    <t>R011</t>
  </si>
  <si>
    <t>Broken Access Control</t>
  </si>
  <si>
    <t>OWASP Top 10:2025</t>
  </si>
  <si>
    <t>R012</t>
  </si>
  <si>
    <t>Security Misconfiguration</t>
  </si>
  <si>
    <t>R013</t>
  </si>
  <si>
    <t>Software Supply Chain Failure</t>
  </si>
  <si>
    <t>R014</t>
  </si>
  <si>
    <t>Cryptographic Failure</t>
  </si>
  <si>
    <t>R015</t>
  </si>
  <si>
    <t>Injection</t>
  </si>
  <si>
    <t>R016</t>
  </si>
  <si>
    <t>Insecure Design</t>
  </si>
  <si>
    <t>R017</t>
  </si>
  <si>
    <t>Authentication Failure</t>
  </si>
  <si>
    <t>R018</t>
  </si>
  <si>
    <t>Software or Data Integrity Failure</t>
  </si>
  <si>
    <t>R019</t>
  </si>
  <si>
    <t>Security Logging and Alerting Failure</t>
  </si>
  <si>
    <t>R020</t>
  </si>
  <si>
    <t>Mishandling of Exceptional Conditions</t>
  </si>
  <si>
    <t>Gap ID</t>
  </si>
  <si>
    <t>Control Gap</t>
  </si>
  <si>
    <t>Priority</t>
  </si>
  <si>
    <t>GAP-001</t>
  </si>
  <si>
    <t>GAP-002</t>
  </si>
  <si>
    <t>Secure Configuration Management</t>
  </si>
  <si>
    <t>GAP-003</t>
  </si>
  <si>
    <t>Software Supply Chain Security</t>
  </si>
  <si>
    <t>GAP-004</t>
  </si>
  <si>
    <t>GAP-005</t>
  </si>
  <si>
    <t>GAP-006</t>
  </si>
  <si>
    <t>Security Logging, Detection and Alerting</t>
  </si>
  <si>
    <t>GAP-007</t>
  </si>
  <si>
    <t>Third-Party Risk Management</t>
  </si>
  <si>
    <t>GAP-008</t>
  </si>
  <si>
    <t>Backup and Recovery Assurance</t>
  </si>
  <si>
    <t>GAP-009</t>
  </si>
  <si>
    <t>Application Resilience and Exceptional-Condition Testing</t>
  </si>
  <si>
    <t>GAP-010</t>
  </si>
  <si>
    <t>Security Control Effectiveness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</si>
</sst>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i/>
      <sz val="11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4" fillId="3" borderId="0" xfId="0" applyFont="1" applyFill="1"/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horizontal="center"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Risk Rating Movement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Critical</c:v>
          </c:tx>
          <c:invertIfNegative val="1"/>
          <c:cat>
            <c:strRef>
              <c:f>'Executive Dashboard'!$D$6:$D$8</c:f>
              <c:strCache>
                <c:ptCount val="3"/>
                <c:pt idx="0">
                  <c:v>Inherent</c:v>
                </c:pt>
                <c:pt idx="1">
                  <c:v>Current Residual</c:v>
                </c:pt>
                <c:pt idx="2">
                  <c:v>Expected Post-Treatment</c:v>
                </c:pt>
              </c:strCache>
            </c:strRef>
          </c:cat>
          <c:val>
            <c:numRef>
              <c:f>'Executive Dashboard'!$E$6:$E$8</c:f>
              <c:numCache>
                <c:formatCode>General</c:formatCode>
                <c:ptCount val="3"/>
                <c:pt idx="0">
                  <c:v>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0-4A68-95A2-944D77369510}"/>
            </c:ext>
          </c:extLst>
        </c:ser>
        <c:ser>
          <c:idx val="1"/>
          <c:order val="1"/>
          <c:tx>
            <c:v>High</c:v>
          </c:tx>
          <c:invertIfNegative val="1"/>
          <c:cat>
            <c:strRef>
              <c:f>'Executive Dashboard'!$D$6:$D$8</c:f>
              <c:strCache>
                <c:ptCount val="3"/>
                <c:pt idx="0">
                  <c:v>Inherent</c:v>
                </c:pt>
                <c:pt idx="1">
                  <c:v>Current Residual</c:v>
                </c:pt>
                <c:pt idx="2">
                  <c:v>Expected Post-Treatment</c:v>
                </c:pt>
              </c:strCache>
            </c:strRef>
          </c:cat>
          <c:val>
            <c:numRef>
              <c:f>'Executive Dashboard'!$F$6:$F$8</c:f>
              <c:numCache>
                <c:formatCode>General</c:formatCode>
                <c:ptCount val="3"/>
                <c:pt idx="0">
                  <c:v>11</c:v>
                </c:pt>
                <c:pt idx="1">
                  <c:v>17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0-4A68-95A2-944D77369510}"/>
            </c:ext>
          </c:extLst>
        </c:ser>
        <c:ser>
          <c:idx val="2"/>
          <c:order val="2"/>
          <c:tx>
            <c:v>Medium</c:v>
          </c:tx>
          <c:invertIfNegative val="1"/>
          <c:cat>
            <c:strRef>
              <c:f>'Executive Dashboard'!$D$6:$D$8</c:f>
              <c:strCache>
                <c:ptCount val="3"/>
                <c:pt idx="0">
                  <c:v>Inherent</c:v>
                </c:pt>
                <c:pt idx="1">
                  <c:v>Current Residual</c:v>
                </c:pt>
                <c:pt idx="2">
                  <c:v>Expected Post-Treatment</c:v>
                </c:pt>
              </c:strCache>
            </c:strRef>
          </c:cat>
          <c:val>
            <c:numRef>
              <c:f>'Executive Dashboard'!$G$6:$G$8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90-4A68-95A2-944D77369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Control Gaps by Priority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'Executive Dashboard'!$A$24:$A$27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'Executive Dashboard'!$B$24:$B$27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7-48D0-B2D6-70A58FAC7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cutiveRiskSummary" displayName="ExecutiveRiskSummary" ref="A1:J21" totalsRowShown="0">
  <tableColumns count="10">
    <tableColumn id="1" xr3:uid="{00000000-0010-0000-0000-000001000000}" name="Risk ID"/>
    <tableColumn id="2" xr3:uid="{00000000-0010-0000-0000-000002000000}" name="Risk"/>
    <tableColumn id="3" xr3:uid="{00000000-0010-0000-0000-000003000000}" name="Risk Group"/>
    <tableColumn id="4" xr3:uid="{00000000-0010-0000-0000-000004000000}" name="Inherent Score"/>
    <tableColumn id="5" xr3:uid="{00000000-0010-0000-0000-000005000000}" name="Inherent Rating"/>
    <tableColumn id="6" xr3:uid="{00000000-0010-0000-0000-000006000000}" name="Current Residual Score"/>
    <tableColumn id="7" xr3:uid="{00000000-0010-0000-0000-000007000000}" name="Current Residual Rating"/>
    <tableColumn id="8" xr3:uid="{00000000-0010-0000-0000-000008000000}" name="Expected Post-Treatment Score"/>
    <tableColumn id="9" xr3:uid="{00000000-0010-0000-0000-000009000000}" name="Expected Post-Treatment Rating"/>
    <tableColumn id="10" xr3:uid="{00000000-0010-0000-0000-00000A000000}" name="Treatment 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ecutiveGapSummary" displayName="ExecutiveGapSummary" ref="A1:C11" totalsRowShown="0">
  <tableColumns count="3">
    <tableColumn id="1" xr3:uid="{00000000-0010-0000-0100-000001000000}" name="Gap ID"/>
    <tableColumn id="2" xr3:uid="{00000000-0010-0000-0100-000002000000}" name="Control Gap"/>
    <tableColumn id="3" xr3:uid="{00000000-0010-0000-0100-000003000000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opLeftCell="E23" workbookViewId="0">
      <selection sqref="A1:H2"/>
    </sheetView>
  </sheetViews>
  <sheetFormatPr defaultRowHeight="13.8"/>
  <cols>
    <col min="1" max="1" width="34" customWidth="1"/>
    <col min="2" max="8" width="14" customWidth="1"/>
  </cols>
  <sheetData>
    <row r="1" spans="1:8">
      <c r="A1" s="11" t="s">
        <v>0</v>
      </c>
      <c r="B1" s="11"/>
      <c r="C1" s="11"/>
      <c r="D1" s="11"/>
      <c r="E1" s="11"/>
      <c r="F1" s="11"/>
      <c r="G1" s="11"/>
      <c r="H1" s="11"/>
    </row>
    <row r="2" spans="1:8">
      <c r="A2" s="11"/>
      <c r="B2" s="11"/>
      <c r="C2" s="11"/>
      <c r="D2" s="11"/>
      <c r="E2" s="11"/>
      <c r="F2" s="11"/>
      <c r="G2" s="11"/>
      <c r="H2" s="11"/>
    </row>
    <row r="3" spans="1:8" ht="14.4">
      <c r="A3" s="12" t="s">
        <v>1</v>
      </c>
      <c r="B3" s="12"/>
      <c r="C3" s="12"/>
      <c r="D3" s="12"/>
      <c r="E3" s="12"/>
      <c r="F3" s="12"/>
      <c r="G3" s="12"/>
      <c r="H3" s="12"/>
    </row>
    <row r="5" spans="1:8">
      <c r="A5" s="5" t="s">
        <v>2</v>
      </c>
      <c r="B5" s="5" t="s">
        <v>3</v>
      </c>
      <c r="C5" s="2"/>
      <c r="D5" s="6" t="s">
        <v>4</v>
      </c>
      <c r="E5" s="6" t="s">
        <v>5</v>
      </c>
      <c r="F5" s="6" t="s">
        <v>6</v>
      </c>
      <c r="G5" s="6" t="s">
        <v>7</v>
      </c>
    </row>
    <row r="6" spans="1:8">
      <c r="A6" s="2" t="s">
        <v>8</v>
      </c>
      <c r="B6" s="2">
        <f>COUNTA('Risk Summary'!A2:A21)</f>
        <v>20</v>
      </c>
      <c r="C6" s="2"/>
      <c r="D6" s="2" t="s">
        <v>9</v>
      </c>
      <c r="E6" s="2">
        <f>COUNTIF('Risk Summary'!E2:E21,"Critical")</f>
        <v>9</v>
      </c>
      <c r="F6" s="2">
        <f>COUNTIF('Risk Summary'!E2:E21,"High")</f>
        <v>11</v>
      </c>
      <c r="G6" s="2">
        <f>COUNTIF('Risk Summary'!E2:E21,"Medium")</f>
        <v>0</v>
      </c>
    </row>
    <row r="7" spans="1:8" ht="27.6">
      <c r="A7" s="2" t="s">
        <v>10</v>
      </c>
      <c r="B7" s="2">
        <f>COUNTIF('Risk Summary'!C2:C21,"Enterprise")</f>
        <v>10</v>
      </c>
      <c r="C7" s="2"/>
      <c r="D7" s="2" t="s">
        <v>11</v>
      </c>
      <c r="E7" s="2">
        <f>COUNTIF('Risk Summary'!G2:G21,"Critical")</f>
        <v>0</v>
      </c>
      <c r="F7" s="2">
        <f>COUNTIF('Risk Summary'!G2:G21,"High")</f>
        <v>17</v>
      </c>
      <c r="G7" s="2">
        <f>COUNTIF('Risk Summary'!G2:G21,"Medium")</f>
        <v>3</v>
      </c>
    </row>
    <row r="8" spans="1:8" ht="27.6">
      <c r="A8" s="2" t="s">
        <v>12</v>
      </c>
      <c r="B8" s="2">
        <f>COUNTIF('Risk Summary'!C2:C21,"OWASP Top 10:2025")</f>
        <v>10</v>
      </c>
      <c r="C8" s="2"/>
      <c r="D8" s="2" t="s">
        <v>13</v>
      </c>
      <c r="E8" s="2">
        <f>COUNTIF('Risk Summary'!I2:I21,"Critical")</f>
        <v>0</v>
      </c>
      <c r="F8" s="2">
        <f>COUNTIF('Risk Summary'!I2:I21,"High")</f>
        <v>0</v>
      </c>
      <c r="G8" s="2">
        <f>COUNTIF('Risk Summary'!I2:I21,"Medium")</f>
        <v>17</v>
      </c>
    </row>
    <row r="9" spans="1:8">
      <c r="A9" s="2" t="s">
        <v>14</v>
      </c>
      <c r="B9" s="2">
        <f>COUNTA('Gap Summary'!A2:A11)</f>
        <v>10</v>
      </c>
      <c r="C9" s="2"/>
      <c r="D9" s="2"/>
      <c r="E9" s="2"/>
      <c r="F9" s="2"/>
      <c r="G9" s="2"/>
    </row>
    <row r="10" spans="1:8" ht="27.6">
      <c r="A10" s="2" t="s">
        <v>15</v>
      </c>
      <c r="B10" s="2">
        <f>COUNTIF('Risk Summary'!J2:J21,"Critical")</f>
        <v>8</v>
      </c>
      <c r="C10" s="2"/>
      <c r="D10" s="6" t="s">
        <v>16</v>
      </c>
      <c r="E10" s="6">
        <f>COUNTIF('Risk Summary'!J2:J21,"Critical")</f>
        <v>8</v>
      </c>
      <c r="F10" s="6">
        <f>COUNTIF('Risk Summary'!J2:J21,"High")</f>
        <v>11</v>
      </c>
      <c r="G10" s="6">
        <f>COUNTIF('Risk Summary'!J2:J21,"Medium")</f>
        <v>1</v>
      </c>
    </row>
    <row r="13" spans="1:8">
      <c r="A13" s="3" t="s">
        <v>17</v>
      </c>
      <c r="B13" s="3" t="s">
        <v>18</v>
      </c>
      <c r="C13" s="3"/>
      <c r="D13" s="3"/>
      <c r="E13" s="3"/>
      <c r="F13" s="3"/>
      <c r="G13" s="3"/>
      <c r="H13" s="3"/>
    </row>
    <row r="14" spans="1:8">
      <c r="A14" s="2" t="s">
        <v>19</v>
      </c>
      <c r="B14" s="13" t="s">
        <v>20</v>
      </c>
      <c r="C14" s="13"/>
      <c r="D14" s="13"/>
      <c r="E14" s="13"/>
      <c r="F14" s="13"/>
      <c r="G14" s="13"/>
      <c r="H14" s="13"/>
    </row>
    <row r="15" spans="1:8">
      <c r="A15" s="2" t="s">
        <v>21</v>
      </c>
      <c r="B15" s="13" t="s">
        <v>22</v>
      </c>
      <c r="C15" s="13"/>
      <c r="D15" s="13"/>
      <c r="E15" s="13"/>
      <c r="F15" s="13"/>
      <c r="G15" s="13"/>
      <c r="H15" s="13"/>
    </row>
    <row r="16" spans="1:8" ht="27.6">
      <c r="A16" s="2" t="s">
        <v>23</v>
      </c>
      <c r="B16" s="13" t="s">
        <v>24</v>
      </c>
      <c r="C16" s="13"/>
      <c r="D16" s="13"/>
      <c r="E16" s="13"/>
      <c r="F16" s="13"/>
      <c r="G16" s="13"/>
      <c r="H16" s="13"/>
    </row>
    <row r="17" spans="1:8" ht="27.6">
      <c r="A17" s="2" t="s">
        <v>25</v>
      </c>
      <c r="B17" s="13" t="s">
        <v>26</v>
      </c>
      <c r="C17" s="13"/>
      <c r="D17" s="13"/>
      <c r="E17" s="13"/>
      <c r="F17" s="13"/>
      <c r="G17" s="13"/>
      <c r="H17" s="13"/>
    </row>
    <row r="18" spans="1:8">
      <c r="A18" s="2" t="s">
        <v>27</v>
      </c>
      <c r="B18" s="13" t="s">
        <v>28</v>
      </c>
      <c r="C18" s="13"/>
      <c r="D18" s="13"/>
      <c r="E18" s="13"/>
      <c r="F18" s="13"/>
      <c r="G18" s="13"/>
      <c r="H18" s="13"/>
    </row>
    <row r="19" spans="1:8">
      <c r="A19" s="2" t="s">
        <v>29</v>
      </c>
      <c r="B19" s="13" t="s">
        <v>30</v>
      </c>
      <c r="C19" s="13"/>
      <c r="D19" s="13"/>
      <c r="E19" s="13"/>
      <c r="F19" s="13"/>
      <c r="G19" s="13"/>
      <c r="H19" s="13"/>
    </row>
    <row r="20" spans="1:8">
      <c r="A20" s="2" t="s">
        <v>31</v>
      </c>
      <c r="B20" s="13" t="s">
        <v>32</v>
      </c>
      <c r="C20" s="13"/>
      <c r="D20" s="13"/>
      <c r="E20" s="13"/>
      <c r="F20" s="13"/>
      <c r="G20" s="13"/>
      <c r="H20" s="13"/>
    </row>
    <row r="23" spans="1:8">
      <c r="A23" s="4" t="s">
        <v>33</v>
      </c>
      <c r="B23" s="4" t="s">
        <v>34</v>
      </c>
      <c r="D23" s="4" t="s">
        <v>35</v>
      </c>
      <c r="E23" s="4" t="s">
        <v>9</v>
      </c>
      <c r="F23" s="4" t="s">
        <v>11</v>
      </c>
      <c r="G23" s="4" t="s">
        <v>36</v>
      </c>
    </row>
    <row r="24" spans="1:8">
      <c r="A24" t="s">
        <v>5</v>
      </c>
      <c r="B24">
        <f>COUNTIF('Gap Summary'!C2:C11,"Critical")</f>
        <v>1</v>
      </c>
      <c r="D24" t="s">
        <v>37</v>
      </c>
      <c r="E24">
        <f>AVERAGE('Risk Summary'!D2:D21)</f>
        <v>16.8</v>
      </c>
      <c r="F24">
        <f>AVERAGE('Risk Summary'!F2:F21)</f>
        <v>9.6999999999999993</v>
      </c>
      <c r="G24">
        <f>AVERAGE('Risk Summary'!H2:H21)</f>
        <v>4.8499999999999996</v>
      </c>
    </row>
    <row r="25" spans="1:8">
      <c r="A25" t="s">
        <v>6</v>
      </c>
      <c r="B25">
        <f>COUNTIF('Gap Summary'!C2:C11,"High")</f>
        <v>8</v>
      </c>
      <c r="D25" t="s">
        <v>38</v>
      </c>
      <c r="E25">
        <f>COUNTIF('Risk Summary'!E2:E21,"Critical")</f>
        <v>9</v>
      </c>
      <c r="F25">
        <f>COUNTIF('Risk Summary'!G2:G21,"Critical")</f>
        <v>0</v>
      </c>
      <c r="G25">
        <f>COUNTIF('Risk Summary'!I2:I21,"Critical")</f>
        <v>0</v>
      </c>
    </row>
    <row r="26" spans="1:8">
      <c r="A26" t="s">
        <v>7</v>
      </c>
      <c r="B26">
        <f>COUNTIF('Gap Summary'!C2:C11,"Medium")</f>
        <v>1</v>
      </c>
      <c r="D26" t="s">
        <v>39</v>
      </c>
      <c r="E26">
        <f>COUNTIF('Risk Summary'!E2:E21,"High")</f>
        <v>11</v>
      </c>
      <c r="F26">
        <f>COUNTIF('Risk Summary'!G2:G21,"High")</f>
        <v>17</v>
      </c>
      <c r="G26">
        <f>COUNTIF('Risk Summary'!I2:I21,"High")</f>
        <v>0</v>
      </c>
    </row>
    <row r="27" spans="1:8">
      <c r="A27" t="s">
        <v>40</v>
      </c>
      <c r="B27">
        <f>COUNTIF('Gap Summary'!C2:C11,"Low")</f>
        <v>0</v>
      </c>
      <c r="D27" t="s">
        <v>41</v>
      </c>
      <c r="E27">
        <f>COUNTIF('Risk Summary'!E2:E21,"Medium")+COUNTIF('Risk Summary'!E2:E21,"Low")</f>
        <v>0</v>
      </c>
      <c r="F27">
        <f>COUNTIF('Risk Summary'!G2:G21,"Medium")+COUNTIF('Risk Summary'!G2:G21,"Low")</f>
        <v>3</v>
      </c>
      <c r="G27">
        <f>COUNTIF('Risk Summary'!I2:I21,"Medium")+COUNTIF('Risk Summary'!I2:I21,"Low")</f>
        <v>20</v>
      </c>
    </row>
    <row r="30" spans="1:8">
      <c r="A30" s="3" t="s">
        <v>42</v>
      </c>
      <c r="B30" s="3" t="s">
        <v>43</v>
      </c>
      <c r="C30" s="3" t="s">
        <v>44</v>
      </c>
      <c r="D30" s="3" t="s">
        <v>45</v>
      </c>
      <c r="E30" s="3" t="s">
        <v>46</v>
      </c>
      <c r="F30" s="3" t="s">
        <v>47</v>
      </c>
    </row>
    <row r="31" spans="1:8">
      <c r="A31" s="2" t="s">
        <v>48</v>
      </c>
      <c r="B31" s="7">
        <v>0</v>
      </c>
      <c r="C31" s="8">
        <v>0</v>
      </c>
      <c r="D31" s="8">
        <v>0</v>
      </c>
      <c r="E31" s="9">
        <v>0</v>
      </c>
      <c r="F31" s="9">
        <v>0</v>
      </c>
    </row>
    <row r="32" spans="1:8">
      <c r="A32" s="2" t="s">
        <v>49</v>
      </c>
      <c r="B32" s="10">
        <v>0</v>
      </c>
      <c r="C32" s="7">
        <v>0</v>
      </c>
      <c r="D32" s="8">
        <v>0</v>
      </c>
      <c r="E32" s="8">
        <v>0</v>
      </c>
      <c r="F32" s="9">
        <v>8</v>
      </c>
    </row>
    <row r="33" spans="1:6">
      <c r="A33" s="2" t="s">
        <v>50</v>
      </c>
      <c r="B33" s="10">
        <v>0</v>
      </c>
      <c r="C33" s="7">
        <v>0</v>
      </c>
      <c r="D33" s="7">
        <v>0</v>
      </c>
      <c r="E33" s="8">
        <v>3</v>
      </c>
      <c r="F33" s="8">
        <v>9</v>
      </c>
    </row>
    <row r="34" spans="1:6">
      <c r="A34" s="2" t="s">
        <v>51</v>
      </c>
      <c r="B34" s="10">
        <v>0</v>
      </c>
      <c r="C34" s="10">
        <v>0</v>
      </c>
      <c r="D34" s="7">
        <v>0</v>
      </c>
      <c r="E34" s="7">
        <v>0</v>
      </c>
      <c r="F34" s="8">
        <v>0</v>
      </c>
    </row>
    <row r="35" spans="1:6">
      <c r="A35" s="2" t="s">
        <v>52</v>
      </c>
      <c r="B35" s="10">
        <v>0</v>
      </c>
      <c r="C35" s="10">
        <v>0</v>
      </c>
      <c r="D35" s="10">
        <v>0</v>
      </c>
      <c r="E35" s="10">
        <v>0</v>
      </c>
      <c r="F35" s="7">
        <v>0</v>
      </c>
    </row>
    <row r="36" spans="1:6">
      <c r="A36" s="2" t="s">
        <v>53</v>
      </c>
      <c r="B36" s="13" t="s">
        <v>54</v>
      </c>
      <c r="C36" s="13"/>
      <c r="D36" s="13"/>
      <c r="E36" s="13"/>
      <c r="F36" s="13"/>
    </row>
  </sheetData>
  <mergeCells count="10">
    <mergeCell ref="B17:H17"/>
    <mergeCell ref="B18:H18"/>
    <mergeCell ref="B19:H19"/>
    <mergeCell ref="B20:H20"/>
    <mergeCell ref="B36:F36"/>
    <mergeCell ref="A1:H2"/>
    <mergeCell ref="A3:H3"/>
    <mergeCell ref="B14:H14"/>
    <mergeCell ref="B15:H15"/>
    <mergeCell ref="B16:H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opLeftCell="E1" workbookViewId="0"/>
  </sheetViews>
  <sheetFormatPr defaultRowHeight="13.8"/>
  <cols>
    <col min="1" max="1" width="10" customWidth="1"/>
    <col min="2" max="2" width="34" customWidth="1"/>
    <col min="3" max="3" width="20" customWidth="1"/>
    <col min="4" max="4" width="15" customWidth="1"/>
    <col min="5" max="5" width="16" customWidth="1"/>
    <col min="6" max="6" width="20" customWidth="1"/>
    <col min="7" max="7" width="22" customWidth="1"/>
    <col min="8" max="8" width="24" customWidth="1"/>
    <col min="9" max="9" width="26" customWidth="1"/>
    <col min="10" max="10" width="18" customWidth="1"/>
  </cols>
  <sheetData>
    <row r="1" spans="1:10" ht="27.6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16</v>
      </c>
    </row>
    <row r="2" spans="1:10">
      <c r="A2" s="2" t="s">
        <v>64</v>
      </c>
      <c r="B2" s="2" t="s">
        <v>65</v>
      </c>
      <c r="C2" s="2" t="s">
        <v>66</v>
      </c>
      <c r="D2" s="2">
        <v>20</v>
      </c>
      <c r="E2" s="2" t="s">
        <v>5</v>
      </c>
      <c r="F2" s="2">
        <v>10</v>
      </c>
      <c r="G2" s="2" t="s">
        <v>6</v>
      </c>
      <c r="H2" s="2">
        <v>5</v>
      </c>
      <c r="I2" s="2" t="s">
        <v>7</v>
      </c>
      <c r="J2" s="2" t="s">
        <v>6</v>
      </c>
    </row>
    <row r="3" spans="1:10">
      <c r="A3" s="2" t="s">
        <v>67</v>
      </c>
      <c r="B3" s="2" t="s">
        <v>68</v>
      </c>
      <c r="C3" s="2" t="s">
        <v>66</v>
      </c>
      <c r="D3" s="2">
        <v>20</v>
      </c>
      <c r="E3" s="2" t="s">
        <v>5</v>
      </c>
      <c r="F3" s="2">
        <v>10</v>
      </c>
      <c r="G3" s="2" t="s">
        <v>6</v>
      </c>
      <c r="H3" s="2">
        <v>5</v>
      </c>
      <c r="I3" s="2" t="s">
        <v>7</v>
      </c>
      <c r="J3" s="2" t="s">
        <v>6</v>
      </c>
    </row>
    <row r="4" spans="1:10">
      <c r="A4" s="2" t="s">
        <v>69</v>
      </c>
      <c r="B4" s="2" t="s">
        <v>70</v>
      </c>
      <c r="C4" s="2" t="s">
        <v>66</v>
      </c>
      <c r="D4" s="2">
        <v>15</v>
      </c>
      <c r="E4" s="2" t="s">
        <v>6</v>
      </c>
      <c r="F4" s="2">
        <v>10</v>
      </c>
      <c r="G4" s="2" t="s">
        <v>6</v>
      </c>
      <c r="H4" s="2">
        <v>5</v>
      </c>
      <c r="I4" s="2" t="s">
        <v>7</v>
      </c>
      <c r="J4" s="2" t="s">
        <v>6</v>
      </c>
    </row>
    <row r="5" spans="1:10">
      <c r="A5" s="2" t="s">
        <v>71</v>
      </c>
      <c r="B5" s="2" t="s">
        <v>72</v>
      </c>
      <c r="C5" s="2" t="s">
        <v>66</v>
      </c>
      <c r="D5" s="2">
        <v>20</v>
      </c>
      <c r="E5" s="2" t="s">
        <v>5</v>
      </c>
      <c r="F5" s="2">
        <v>10</v>
      </c>
      <c r="G5" s="2" t="s">
        <v>6</v>
      </c>
      <c r="H5" s="2">
        <v>5</v>
      </c>
      <c r="I5" s="2" t="s">
        <v>7</v>
      </c>
      <c r="J5" s="2" t="s">
        <v>6</v>
      </c>
    </row>
    <row r="6" spans="1:10">
      <c r="A6" s="2" t="s">
        <v>73</v>
      </c>
      <c r="B6" s="2" t="s">
        <v>74</v>
      </c>
      <c r="C6" s="2" t="s">
        <v>66</v>
      </c>
      <c r="D6" s="2">
        <v>20</v>
      </c>
      <c r="E6" s="2" t="s">
        <v>5</v>
      </c>
      <c r="F6" s="2">
        <v>10</v>
      </c>
      <c r="G6" s="2" t="s">
        <v>6</v>
      </c>
      <c r="H6" s="2">
        <v>5</v>
      </c>
      <c r="I6" s="2" t="s">
        <v>7</v>
      </c>
      <c r="J6" s="2" t="s">
        <v>6</v>
      </c>
    </row>
    <row r="7" spans="1:10">
      <c r="A7" s="2" t="s">
        <v>75</v>
      </c>
      <c r="B7" s="2" t="s">
        <v>76</v>
      </c>
      <c r="C7" s="2" t="s">
        <v>66</v>
      </c>
      <c r="D7" s="2">
        <v>20</v>
      </c>
      <c r="E7" s="2" t="s">
        <v>5</v>
      </c>
      <c r="F7" s="2">
        <v>10</v>
      </c>
      <c r="G7" s="2" t="s">
        <v>6</v>
      </c>
      <c r="H7" s="2">
        <v>5</v>
      </c>
      <c r="I7" s="2" t="s">
        <v>7</v>
      </c>
      <c r="J7" s="2" t="s">
        <v>5</v>
      </c>
    </row>
    <row r="8" spans="1:10" ht="27.6">
      <c r="A8" s="2" t="s">
        <v>77</v>
      </c>
      <c r="B8" s="2" t="s">
        <v>78</v>
      </c>
      <c r="C8" s="2" t="s">
        <v>66</v>
      </c>
      <c r="D8" s="2">
        <v>12</v>
      </c>
      <c r="E8" s="2" t="s">
        <v>6</v>
      </c>
      <c r="F8" s="2">
        <v>8</v>
      </c>
      <c r="G8" s="2" t="s">
        <v>7</v>
      </c>
      <c r="H8" s="2">
        <v>4</v>
      </c>
      <c r="I8" s="2" t="s">
        <v>40</v>
      </c>
      <c r="J8" s="2" t="s">
        <v>7</v>
      </c>
    </row>
    <row r="9" spans="1:10">
      <c r="A9" s="2" t="s">
        <v>79</v>
      </c>
      <c r="B9" s="2" t="s">
        <v>80</v>
      </c>
      <c r="C9" s="2" t="s">
        <v>66</v>
      </c>
      <c r="D9" s="2">
        <v>15</v>
      </c>
      <c r="E9" s="2" t="s">
        <v>6</v>
      </c>
      <c r="F9" s="2">
        <v>10</v>
      </c>
      <c r="G9" s="2" t="s">
        <v>6</v>
      </c>
      <c r="H9" s="2">
        <v>5</v>
      </c>
      <c r="I9" s="2" t="s">
        <v>7</v>
      </c>
      <c r="J9" s="2" t="s">
        <v>6</v>
      </c>
    </row>
    <row r="10" spans="1:10">
      <c r="A10" s="2" t="s">
        <v>81</v>
      </c>
      <c r="B10" s="2" t="s">
        <v>82</v>
      </c>
      <c r="C10" s="2" t="s">
        <v>66</v>
      </c>
      <c r="D10" s="2">
        <v>15</v>
      </c>
      <c r="E10" s="2" t="s">
        <v>6</v>
      </c>
      <c r="F10" s="2">
        <v>10</v>
      </c>
      <c r="G10" s="2" t="s">
        <v>6</v>
      </c>
      <c r="H10" s="2">
        <v>5</v>
      </c>
      <c r="I10" s="2" t="s">
        <v>7</v>
      </c>
      <c r="J10" s="2" t="s">
        <v>6</v>
      </c>
    </row>
    <row r="11" spans="1:10">
      <c r="A11" s="2" t="s">
        <v>83</v>
      </c>
      <c r="B11" s="2" t="s">
        <v>84</v>
      </c>
      <c r="C11" s="2" t="s">
        <v>66</v>
      </c>
      <c r="D11" s="2">
        <v>15</v>
      </c>
      <c r="E11" s="2" t="s">
        <v>6</v>
      </c>
      <c r="F11" s="2">
        <v>10</v>
      </c>
      <c r="G11" s="2" t="s">
        <v>6</v>
      </c>
      <c r="H11" s="2">
        <v>5</v>
      </c>
      <c r="I11" s="2" t="s">
        <v>7</v>
      </c>
      <c r="J11" s="2" t="s">
        <v>6</v>
      </c>
    </row>
    <row r="12" spans="1:10">
      <c r="A12" s="2" t="s">
        <v>85</v>
      </c>
      <c r="B12" s="2" t="s">
        <v>86</v>
      </c>
      <c r="C12" s="2" t="s">
        <v>87</v>
      </c>
      <c r="D12" s="2">
        <v>20</v>
      </c>
      <c r="E12" s="2" t="s">
        <v>5</v>
      </c>
      <c r="F12" s="2">
        <v>10</v>
      </c>
      <c r="G12" s="2" t="s">
        <v>6</v>
      </c>
      <c r="H12" s="2">
        <v>5</v>
      </c>
      <c r="I12" s="2" t="s">
        <v>7</v>
      </c>
      <c r="J12" s="2" t="s">
        <v>5</v>
      </c>
    </row>
    <row r="13" spans="1:10">
      <c r="A13" s="2" t="s">
        <v>88</v>
      </c>
      <c r="B13" s="2" t="s">
        <v>89</v>
      </c>
      <c r="C13" s="2" t="s">
        <v>87</v>
      </c>
      <c r="D13" s="2">
        <v>20</v>
      </c>
      <c r="E13" s="2" t="s">
        <v>5</v>
      </c>
      <c r="F13" s="2">
        <v>10</v>
      </c>
      <c r="G13" s="2" t="s">
        <v>6</v>
      </c>
      <c r="H13" s="2">
        <v>5</v>
      </c>
      <c r="I13" s="2" t="s">
        <v>7</v>
      </c>
      <c r="J13" s="2" t="s">
        <v>6</v>
      </c>
    </row>
    <row r="14" spans="1:10">
      <c r="A14" s="2" t="s">
        <v>90</v>
      </c>
      <c r="B14" s="2" t="s">
        <v>91</v>
      </c>
      <c r="C14" s="2" t="s">
        <v>87</v>
      </c>
      <c r="D14" s="2">
        <v>15</v>
      </c>
      <c r="E14" s="2" t="s">
        <v>6</v>
      </c>
      <c r="F14" s="2">
        <v>10</v>
      </c>
      <c r="G14" s="2" t="s">
        <v>6</v>
      </c>
      <c r="H14" s="2">
        <v>5</v>
      </c>
      <c r="I14" s="2" t="s">
        <v>7</v>
      </c>
      <c r="J14" s="2" t="s">
        <v>5</v>
      </c>
    </row>
    <row r="15" spans="1:10">
      <c r="A15" s="2" t="s">
        <v>92</v>
      </c>
      <c r="B15" s="2" t="s">
        <v>93</v>
      </c>
      <c r="C15" s="2" t="s">
        <v>87</v>
      </c>
      <c r="D15" s="2">
        <v>15</v>
      </c>
      <c r="E15" s="2" t="s">
        <v>6</v>
      </c>
      <c r="F15" s="2">
        <v>10</v>
      </c>
      <c r="G15" s="2" t="s">
        <v>6</v>
      </c>
      <c r="H15" s="2">
        <v>5</v>
      </c>
      <c r="I15" s="2" t="s">
        <v>7</v>
      </c>
      <c r="J15" s="2" t="s">
        <v>6</v>
      </c>
    </row>
    <row r="16" spans="1:10">
      <c r="A16" s="2" t="s">
        <v>94</v>
      </c>
      <c r="B16" s="2" t="s">
        <v>95</v>
      </c>
      <c r="C16" s="2" t="s">
        <v>87</v>
      </c>
      <c r="D16" s="2">
        <v>20</v>
      </c>
      <c r="E16" s="2" t="s">
        <v>5</v>
      </c>
      <c r="F16" s="2">
        <v>10</v>
      </c>
      <c r="G16" s="2" t="s">
        <v>6</v>
      </c>
      <c r="H16" s="2">
        <v>5</v>
      </c>
      <c r="I16" s="2" t="s">
        <v>7</v>
      </c>
      <c r="J16" s="2" t="s">
        <v>5</v>
      </c>
    </row>
    <row r="17" spans="1:10">
      <c r="A17" s="2" t="s">
        <v>96</v>
      </c>
      <c r="B17" s="2" t="s">
        <v>97</v>
      </c>
      <c r="C17" s="2" t="s">
        <v>87</v>
      </c>
      <c r="D17" s="2">
        <v>15</v>
      </c>
      <c r="E17" s="2" t="s">
        <v>6</v>
      </c>
      <c r="F17" s="2">
        <v>10</v>
      </c>
      <c r="G17" s="2" t="s">
        <v>6</v>
      </c>
      <c r="H17" s="2">
        <v>5</v>
      </c>
      <c r="I17" s="2" t="s">
        <v>7</v>
      </c>
      <c r="J17" s="2" t="s">
        <v>5</v>
      </c>
    </row>
    <row r="18" spans="1:10">
      <c r="A18" s="2" t="s">
        <v>98</v>
      </c>
      <c r="B18" s="2" t="s">
        <v>99</v>
      </c>
      <c r="C18" s="2" t="s">
        <v>87</v>
      </c>
      <c r="D18" s="2">
        <v>20</v>
      </c>
      <c r="E18" s="2" t="s">
        <v>5</v>
      </c>
      <c r="F18" s="2">
        <v>10</v>
      </c>
      <c r="G18" s="2" t="s">
        <v>6</v>
      </c>
      <c r="H18" s="2">
        <v>5</v>
      </c>
      <c r="I18" s="2" t="s">
        <v>7</v>
      </c>
      <c r="J18" s="2" t="s">
        <v>5</v>
      </c>
    </row>
    <row r="19" spans="1:10">
      <c r="A19" s="2" t="s">
        <v>100</v>
      </c>
      <c r="B19" s="2" t="s">
        <v>101</v>
      </c>
      <c r="C19" s="2" t="s">
        <v>87</v>
      </c>
      <c r="D19" s="2">
        <v>15</v>
      </c>
      <c r="E19" s="2" t="s">
        <v>6</v>
      </c>
      <c r="F19" s="2">
        <v>10</v>
      </c>
      <c r="G19" s="2" t="s">
        <v>6</v>
      </c>
      <c r="H19" s="2">
        <v>5</v>
      </c>
      <c r="I19" s="2" t="s">
        <v>7</v>
      </c>
      <c r="J19" s="2" t="s">
        <v>5</v>
      </c>
    </row>
    <row r="20" spans="1:10">
      <c r="A20" s="2" t="s">
        <v>102</v>
      </c>
      <c r="B20" s="2" t="s">
        <v>103</v>
      </c>
      <c r="C20" s="2" t="s">
        <v>87</v>
      </c>
      <c r="D20" s="2">
        <v>12</v>
      </c>
      <c r="E20" s="2" t="s">
        <v>6</v>
      </c>
      <c r="F20" s="2">
        <v>8</v>
      </c>
      <c r="G20" s="2" t="s">
        <v>7</v>
      </c>
      <c r="H20" s="2">
        <v>4</v>
      </c>
      <c r="I20" s="2" t="s">
        <v>40</v>
      </c>
      <c r="J20" s="2" t="s">
        <v>6</v>
      </c>
    </row>
    <row r="21" spans="1:10">
      <c r="A21" s="2" t="s">
        <v>104</v>
      </c>
      <c r="B21" s="2" t="s">
        <v>105</v>
      </c>
      <c r="C21" s="2" t="s">
        <v>87</v>
      </c>
      <c r="D21" s="2">
        <v>12</v>
      </c>
      <c r="E21" s="2" t="s">
        <v>6</v>
      </c>
      <c r="F21" s="2">
        <v>8</v>
      </c>
      <c r="G21" s="2" t="s">
        <v>7</v>
      </c>
      <c r="H21" s="2">
        <v>4</v>
      </c>
      <c r="I21" s="2" t="s">
        <v>40</v>
      </c>
      <c r="J21" s="2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tabSelected="1" workbookViewId="0"/>
  </sheetViews>
  <sheetFormatPr defaultRowHeight="13.8"/>
  <cols>
    <col min="1" max="1" width="13" customWidth="1"/>
    <col min="2" max="2" width="48" customWidth="1"/>
    <col min="3" max="3" width="15" customWidth="1"/>
  </cols>
  <sheetData>
    <row r="1" spans="1:3">
      <c r="A1" s="1" t="s">
        <v>106</v>
      </c>
      <c r="B1" s="1" t="s">
        <v>107</v>
      </c>
      <c r="C1" s="1" t="s">
        <v>108</v>
      </c>
    </row>
    <row r="2" spans="1:3">
      <c r="A2" s="2" t="s">
        <v>109</v>
      </c>
      <c r="B2" s="2" t="s">
        <v>21</v>
      </c>
      <c r="C2" s="2" t="s">
        <v>6</v>
      </c>
    </row>
    <row r="3" spans="1:3">
      <c r="A3" s="2" t="s">
        <v>110</v>
      </c>
      <c r="B3" s="2" t="s">
        <v>111</v>
      </c>
      <c r="C3" s="2" t="s">
        <v>6</v>
      </c>
    </row>
    <row r="4" spans="1:3">
      <c r="A4" s="2" t="s">
        <v>112</v>
      </c>
      <c r="B4" s="2" t="s">
        <v>113</v>
      </c>
      <c r="C4" s="2" t="s">
        <v>6</v>
      </c>
    </row>
    <row r="5" spans="1:3">
      <c r="A5" s="2" t="s">
        <v>114</v>
      </c>
      <c r="B5" s="2" t="s">
        <v>27</v>
      </c>
      <c r="C5" s="2" t="s">
        <v>6</v>
      </c>
    </row>
    <row r="6" spans="1:3">
      <c r="A6" s="2" t="s">
        <v>115</v>
      </c>
      <c r="B6" s="2" t="s">
        <v>19</v>
      </c>
      <c r="C6" s="2" t="s">
        <v>5</v>
      </c>
    </row>
    <row r="7" spans="1:3">
      <c r="A7" s="2" t="s">
        <v>116</v>
      </c>
      <c r="B7" s="2" t="s">
        <v>117</v>
      </c>
      <c r="C7" s="2" t="s">
        <v>6</v>
      </c>
    </row>
    <row r="8" spans="1:3">
      <c r="A8" s="2" t="s">
        <v>118</v>
      </c>
      <c r="B8" s="2" t="s">
        <v>119</v>
      </c>
      <c r="C8" s="2" t="s">
        <v>6</v>
      </c>
    </row>
    <row r="9" spans="1:3">
      <c r="A9" s="2" t="s">
        <v>120</v>
      </c>
      <c r="B9" s="2" t="s">
        <v>121</v>
      </c>
      <c r="C9" s="2" t="s">
        <v>6</v>
      </c>
    </row>
    <row r="10" spans="1:3">
      <c r="A10" s="2" t="s">
        <v>122</v>
      </c>
      <c r="B10" s="2" t="s">
        <v>123</v>
      </c>
      <c r="C10" s="2" t="s">
        <v>7</v>
      </c>
    </row>
    <row r="11" spans="1:3">
      <c r="A11" s="2" t="s">
        <v>124</v>
      </c>
      <c r="B11" s="2" t="s">
        <v>125</v>
      </c>
      <c r="C11" s="2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Risk Summary</vt:lpstr>
      <vt:lpstr>Gap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Palugaswewa K.I.K.I.B IT24201195</cp:lastModifiedBy>
  <dcterms:modified xsi:type="dcterms:W3CDTF">2026-08-19T06:50:00Z</dcterms:modified>
</cp:coreProperties>
</file>