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1d81579bd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Gap Register" sheetId="1" r:id="R942ccc6c658f49f1"/>
    <x:sheet xmlns:r="http://schemas.openxmlformats.org/officeDocument/2006/relationships" name="Summary" sheetId="2" r:id="Ree97a36f2b30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849dedf7e477c" /><Relationship Type="http://schemas.openxmlformats.org/officeDocument/2006/relationships/theme" Target="/xl/theme/theme1.xml" Id="R0efad73f641146b0" /><Relationship Type="http://schemas.openxmlformats.org/officeDocument/2006/relationships/sharedStrings" Target="/xl/sharedStrings.xml" Id="R989b2f7ab59c4a1e" /><Relationship Type="http://schemas.openxmlformats.org/officeDocument/2006/relationships/worksheet" Target="/xl/worksheets/sheet1.xml" Id="R942ccc6c658f49f1" /><Relationship Type="http://schemas.openxmlformats.org/officeDocument/2006/relationships/worksheet" Target="/xl/worksheets/sheet2.xml" Id="Ree97a36f2b3046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b58bd9d8f745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Control Gaps by Priority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'Summary'!$A$3:$A$6</c:f>
              <c:strCache>
                <c:ptCount val="0"/>
              </c:strCache>
            </c:strRef>
          </c:cat>
          <c:val>
            <c:numRef>
              <c:f>'Summary'!$B$3:$B$6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b58bd9d8f7456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rolGapRegister" displayName="ControlGapRegister" ref="A1:K11" headerRowCount="1" totalsRowCount="0" totalsRowShown="0">
  <x:tableColumns count="11">
    <x:tableColumn id="1" name="Gap ID"/>
    <x:tableColumn id="2" name="Control Gap"/>
    <x:tableColumn id="3" name="Related Risk IDs"/>
    <x:tableColumn id="4" name="Existing Controls"/>
    <x:tableColumn id="5" name="Evidence Status"/>
    <x:tableColumn id="6" name="Gap Description"/>
    <x:tableColumn id="7" name="Potential Impact"/>
    <x:tableColumn id="8" name="Recommendation"/>
    <x:tableColumn id="9" name="Priority"/>
    <x:tableColumn id="10" name="Proposed Owner"/>
    <x:tableColumn id="11" name="Evidence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57fce4bec147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0c2813f873743c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40" hidden="0" customWidth="1"/>
    <x:col min="5" max="5" width="18" hidden="0" customWidth="1"/>
    <x:col min="6" max="6" width="44" hidden="0" customWidth="1"/>
    <x:col min="7" max="7" width="40" hidden="0" customWidth="1"/>
    <x:col min="8" max="8" width="52" hidden="0" customWidth="1"/>
    <x:col min="9" max="9" width="12" hidden="0" customWidth="1"/>
    <x:col min="10" max="10" width="32" hidden="0" customWidth="1"/>
    <x:col min="11" max="11" width="42" hidden="0" customWidth="1"/>
  </x:cols>
  <x:sheetData>
    <x:row r="1">
      <x:c r="A1" s="14" t="str">
        <x:v>Gap ID</x:v>
      </x:c>
      <x:c r="B1" s="14" t="str">
        <x:v>Control Gap</x:v>
      </x:c>
      <x:c r="C1" s="14" t="str">
        <x:v>Related Risk IDs</x:v>
      </x:c>
      <x:c r="D1" s="14" t="str">
        <x:v>Existing Controls</x:v>
      </x:c>
      <x:c r="E1" s="14" t="str">
        <x:v>Evidence Status</x:v>
      </x:c>
      <x:c r="F1" s="14" t="str">
        <x:v>Gap Description</x:v>
      </x:c>
      <x:c r="G1" s="14" t="str">
        <x:v>Potential Impact</x:v>
      </x:c>
      <x:c r="H1" s="14" t="str">
        <x:v>Recommendation</x:v>
      </x:c>
      <x:c r="I1" s="14" t="str">
        <x:v>Priority</x:v>
      </x:c>
      <x:c r="J1" s="14" t="str">
        <x:v>Proposed Owner</x:v>
      </x:c>
      <x:c r="K1" s="14" t="str">
        <x:v>Evidence Limitation</x:v>
      </x:c>
    </x:row>
    <x:row r="2">
      <x:c r="A2" s="15" t="str">
        <x:v>GAP-001</x:v>
      </x:c>
      <x:c r="B2" s="15" t="str">
        <x:v>Identity and Access Governance</x:v>
      </x:c>
      <x:c r="C2" s="15" t="str">
        <x:v>R001, R002, R008, R011, R017</x:v>
      </x:c>
      <x:c r="D2" s="15" t="str">
        <x:v>C005 Access Controls; C002 Security Monitoring; C004 Security Awareness / Training</x:v>
      </x:c>
      <x:c r="E2" s="15" t="str">
        <x:v>Partially Evidenced</x:v>
      </x:c>
      <x:c r="F2" s="15" t="str">
        <x:v>Public information indicates access restrictions and security safeguards, but detailed evidence is not available for privileged access management, periodic access certification, role-based access reviews, authentication-control coverage, and Joiner/Mover/Leaver processes.</x:v>
      </x:c>
      <x:c r="G2" s="15" t="str">
        <x:v>Weak identity governance could contribute to unauthorized access, excessive privileges, account compromise, or misuse of legitimate access.</x:v>
      </x:c>
      <x:c r="H2" s="15" t="str">
        <x:v>Maintain least-privilege access, role-based access control, MFA for appropriate high-risk access, privileged access management, periodic user-access certification, dormant-account reviews, Joiner/Mover/Leaver controls, and authentication monitoring.</x:v>
      </x:c>
      <x:c r="I2" s="15" t="str">
        <x:v>High</x:v>
      </x:c>
      <x:c r="J2" s="15" t="str">
        <x:v>Identity &amp; Access Management / Information Security</x:v>
      </x:c>
      <x:c r="K2" s="15" t="str">
        <x:v>Detailed IAM architecture and operating-effectiveness evidence were not publicly available.</x:v>
      </x:c>
    </x:row>
    <x:row r="3">
      <x:c r="A3" s="15" t="str">
        <x:v>GAP-002</x:v>
      </x:c>
      <x:c r="B3" s="15" t="str">
        <x:v>Secure Configuration Management</x:v>
      </x:c>
      <x:c r="C3" s="15" t="str">
        <x:v>R005, R012</x:v>
      </x:c>
      <x:c r="D3" s="15" t="str">
        <x:v>C001 Information Security Management; C003 Penetration Testing; C002 Security Monitoring</x:v>
      </x:c>
      <x:c r="E3" s="15" t="str">
        <x:v>Partially Evidenced</x:v>
      </x:c>
      <x:c r="F3" s="15" t="str">
        <x:v>Public information supports information-security governance and security assessment activities, but detailed evidence is not available for hardened configuration baselines, automated configuration monitoring, and configuration-compliance assessment.</x:v>
      </x:c>
      <x:c r="G3" s="15" t="str">
        <x:v>Security misconfiguration could expose services, information, administrative interfaces, or cloud resources.</x:v>
      </x:c>
      <x:c r="H3" s="15" t="str">
        <x:v>Maintain secure configuration baselines, configuration compliance scanning, cloud security posture monitoring, removal of unnecessary services, environment separation, change control, and periodic configuration reviews.</x:v>
      </x:c>
      <x:c r="I3" s="15" t="str">
        <x:v>High</x:v>
      </x:c>
      <x:c r="J3" s="15" t="str">
        <x:v>Technology Operations / Cloud Security</x:v>
      </x:c>
      <x:c r="K3" s="15" t="str">
        <x:v>Internal configuration standards and compliance results could not be independently verified.</x:v>
      </x:c>
    </x:row>
    <x:row r="4">
      <x:c r="A4" s="15" t="str">
        <x:v>GAP-003</x:v>
      </x:c>
      <x:c r="B4" s="15" t="str">
        <x:v>Software Supply Chain Security</x:v>
      </x:c>
      <x:c r="C4" s="15" t="str">
        <x:v>R009, R013, R018</x:v>
      </x:c>
      <x:c r="D4" s="15" t="str">
        <x:v>C001 Information Security Management; C007 Incident Response</x:v>
      </x:c>
      <x:c r="E4" s="15" t="str">
        <x:v>Limited</x:v>
      </x:c>
      <x:c r="F4" s="15" t="str">
        <x:v>Public information indicates third-party relationships and organizational security governance, but detailed evidence is not available for dependency governance, SBOM usage, artifact integrity, dependency scanning, and CI/CD supply-chain controls.</x:v>
      </x:c>
      <x:c r="G4" s="15" t="str">
        <x:v>Compromise of dependencies, software repositories, build systems, or vendors could introduce vulnerable or malicious components into trusted systems.</x:v>
      </x:c>
      <x:c r="H4" s="15" t="str">
        <x:v>Maintain Software Composition Analysis, Software Bill of Materials governance, approved dependency repositories, dependency and version governance, signed build artifacts, protected CI/CD pipelines, vendor security assessment, and software integrity verification.</x:v>
      </x:c>
      <x:c r="I4" s="15" t="str">
        <x:v>High</x:v>
      </x:c>
      <x:c r="J4" s="15" t="str">
        <x:v>Application Security / Vendor Risk Management</x:v>
      </x:c>
      <x:c r="K4" s="15" t="str">
        <x:v>Internal software-supply-chain controls could not be independently assessed.</x:v>
      </x:c>
    </x:row>
    <x:row r="5">
      <x:c r="A5" s="15" t="str">
        <x:v>GAP-004</x:v>
      </x:c>
      <x:c r="B5" s="15" t="str">
        <x:v>Cryptographic Governance</x:v>
      </x:c>
      <x:c r="C5" s="15" t="str">
        <x:v>R001, R003, R014</x:v>
      </x:c>
      <x:c r="D5" s="15" t="str">
        <x:v>C006 Encryption / Security Protection; C003 Penetration Testing</x:v>
      </x:c>
      <x:c r="E5" s="15" t="str">
        <x:v>Partially Evidenced</x:v>
      </x:c>
      <x:c r="F5" s="15" t="str">
        <x:v>Public privacy information describes security protections for personal information, but detailed information is not available regarding cryptographic standards, encryption coverage, key management, certificate management, and cryptographic lifecycle governance.</x:v>
      </x:c>
      <x:c r="G5" s="15" t="str">
        <x:v>Weak or incorrectly implemented cryptography could expose sensitive customer, payment, or authentication information.</x:v>
      </x:c>
      <x:c r="H5" s="15" t="str">
        <x:v>Maintain approved cryptographic standards, encryption of sensitive data in transit, encryption of sensitive data at rest where appropriate, centralized key management, certificate lifecycle management, key rotation, and periodic cryptographic review.</x:v>
      </x:c>
      <x:c r="I5" s="15" t="str">
        <x:v>High</x:v>
      </x:c>
      <x:c r="J5" s="15" t="str">
        <x:v>Information Security / Application Security</x:v>
      </x:c>
      <x:c r="K5" s="15" t="str">
        <x:v>Algorithms, key-management architecture, and implementation effectiveness could not be independently verified.</x:v>
      </x:c>
    </x:row>
    <x:row r="6">
      <x:c r="A6" s="15" t="str">
        <x:v>GAP-005</x:v>
      </x:c>
      <x:c r="B6" s="15" t="str">
        <x:v>Secure Software Development Lifecycle</x:v>
      </x:c>
      <x:c r="C6" s="15" t="str">
        <x:v>R006, R011, R015, R016, R017, R018, R020</x:v>
      </x:c>
      <x:c r="D6" s="15" t="str">
        <x:v>C001 Information Security Management; C003 Penetration Testing</x:v>
      </x:c>
      <x:c r="E6" s="15" t="str">
        <x:v>Partially Evidenced</x:v>
      </x:c>
      <x:c r="F6" s="15" t="str">
        <x:v>Public information supports cybersecurity and security-testing activities, but sufficient public evidence is not available to determine the maturity and coverage of secure software-development practices.</x:v>
      </x:c>
      <x:c r="G6" s="15" t="str">
        <x:v>Security weaknesses introduced during design, development, or deployment could result in unauthorized access, injection, business-logic abuse, insecure error handling, or application compromise.</x:v>
      </x:c>
      <x:c r="H6" s="15" t="str">
        <x:v>Maintain a Secure SDLC incorporating security requirements, threat modelling, secure design review, secure coding standards, peer code review, SAST, DAST, dependency scanning, security testing, negative and abuse-case testing, and remediation tracking.</x:v>
      </x:c>
      <x:c r="I6" s="15" t="str">
        <x:v>Critical</x:v>
      </x:c>
      <x:c r="J6" s="15" t="str">
        <x:v>Application Security / Software Engineering</x:v>
      </x:c>
      <x:c r="K6" s="15" t="str">
        <x:v>Secure SDLC procedures and testing coverage could not be independently verified.</x:v>
      </x:c>
    </x:row>
    <x:row r="7">
      <x:c r="A7" s="15" t="str">
        <x:v>GAP-006</x:v>
      </x:c>
      <x:c r="B7" s="15" t="str">
        <x:v>Security Logging, Detection and Alerting</x:v>
      </x:c>
      <x:c r="C7" s="15" t="str">
        <x:v>R001, R002, R004, R007, R019</x:v>
      </x:c>
      <x:c r="D7" s="15" t="str">
        <x:v>C002 Security Monitoring; C007 Incident Response</x:v>
      </x:c>
      <x:c r="E7" s="15" t="str">
        <x:v>Partially Evidenced</x:v>
      </x:c>
      <x:c r="F7" s="15" t="str">
        <x:v>Security monitoring capabilities are publicly indicated, but detailed evidence is not available regarding log-source coverage, alerting rules, log retention, detection engineering, SIEM coverage, and detection effectiveness.</x:v>
      </x:c>
      <x:c r="G7" s="15" t="str">
        <x:v>Insufficient logging or alerting could allow malicious activity to remain undetected and increase incident duration.</x:v>
      </x:c>
      <x:c r="H7" s="15" t="str">
        <x:v>Maintain centralized security logging, defined security logging standards, critical-system audit trails, SIEM monitoring, detection use cases, high-risk security alerts, appropriate log retention, protected log integrity, and periodic detection testing.</x:v>
      </x:c>
      <x:c r="I7" s="15" t="str">
        <x:v>High</x:v>
      </x:c>
      <x:c r="J7" s="15" t="str">
        <x:v>Security Operations / Information Security</x:v>
      </x:c>
      <x:c r="K7" s="15" t="str">
        <x:v>Monitoring coverage and detection effectiveness could not be independently tested.</x:v>
      </x:c>
    </x:row>
    <x:row r="8">
      <x:c r="A8" s="15" t="str">
        <x:v>GAP-007</x:v>
      </x:c>
      <x:c r="B8" s="15" t="str">
        <x:v>Third-Party Risk Management</x:v>
      </x:c>
      <x:c r="C8" s="15" t="str">
        <x:v>R009, R013</x:v>
      </x:c>
      <x:c r="D8" s="15" t="str">
        <x:v>C001 Information Security Management; C005 Access Controls; C007 Incident Response</x:v>
      </x:c>
      <x:c r="E8" s="15" t="str">
        <x:v>Partially Evidenced</x:v>
      </x:c>
      <x:c r="F8" s="15" t="str">
        <x:v>Dialog publicly identifies relationships involving service providers and other third parties, but detailed cybersecurity vendor-risk procedures are not sufficiently visible in the public evidence reviewed.</x:v>
      </x:c>
      <x:c r="G8" s="15" t="str">
        <x:v>A compromised or inadequately controlled third party could expose information, introduce malicious software, or disrupt critical services.</x:v>
      </x:c>
      <x:c r="H8" s="15" t="str">
        <x:v>Maintain vendor risk classification, security due diligence, contractual security requirements, data-protection requirements, periodic reassessment, critical-vendor monitoring, incident notification requirements, and vendor offboarding.</x:v>
      </x:c>
      <x:c r="I8" s="15" t="str">
        <x:v>High</x:v>
      </x:c>
      <x:c r="J8" s="15" t="str">
        <x:v>Procurement / Vendor Risk Management</x:v>
      </x:c>
      <x:c r="K8" s="15" t="str">
        <x:v>Internal vendor assessment and monitoring records were not available.</x:v>
      </x:c>
    </x:row>
    <x:row r="9">
      <x:c r="A9" s="15" t="str">
        <x:v>GAP-008</x:v>
      </x:c>
      <x:c r="B9" s="15" t="str">
        <x:v>Backup and Recovery Assurance</x:v>
      </x:c>
      <x:c r="C9" s="15" t="str">
        <x:v>R004, R010</x:v>
      </x:c>
      <x:c r="D9" s="15" t="str">
        <x:v>C008 Business Continuity / Resilience; C007 Incident Response</x:v>
      </x:c>
      <x:c r="E9" s="15" t="str">
        <x:v>Partially Evidenced</x:v>
      </x:c>
      <x:c r="F9" s="15" t="str">
        <x:v>Public information indicates business-continuity and resilience considerations, but detailed evidence is not available regarding backup architecture, restoration testing, recovery objectives, and ransomware-resilient backups.</x:v>
      </x:c>
      <x:c r="G9" s="15" t="str">
        <x:v>Backup failure could increase recovery time and operational impact following ransomware, destructive attacks, or infrastructure failure.</x:v>
      </x:c>
      <x:c r="H9" s="15" t="str">
        <x:v>Maintain defined RTOs and RPOs, regular backups, offline or immutable backup protection where appropriate, restoration testing, disaster-recovery exercises, backup integrity monitoring, and documented recovery procedures.</x:v>
      </x:c>
      <x:c r="I9" s="15" t="str">
        <x:v>High</x:v>
      </x:c>
      <x:c r="J9" s="15" t="str">
        <x:v>IT Operations / Business Continuity</x:v>
      </x:c>
      <x:c r="K9" s="15" t="str">
        <x:v>Backup configuration and recovery-test results could not be independently verified.</x:v>
      </x:c>
    </x:row>
    <x:row r="10">
      <x:c r="A10" s="15" t="str">
        <x:v>GAP-009</x:v>
      </x:c>
      <x:c r="B10" s="15" t="str">
        <x:v>Application Resilience and Exceptional-Condition Testing</x:v>
      </x:c>
      <x:c r="C10" s="15" t="str">
        <x:v>R004, R020</x:v>
      </x:c>
      <x:c r="D10" s="15" t="str">
        <x:v>C003 Penetration Testing; C007 Incident Response; C008 Business Continuity / Resilience</x:v>
      </x:c>
      <x:c r="E10" s="15" t="str">
        <x:v>Limited</x:v>
      </x:c>
      <x:c r="F10" s="15" t="str">
        <x:v>Public information does not provide sufficient detail to assess how customer-facing applications are tested for abnormal conditions, resource exhaustion, unexpected states, or fail-open behaviour.</x:v>
      </x:c>
      <x:c r="G10" s="15" t="str">
        <x:v>Unexpected application conditions could cause service degradation, information leakage, or security controls to behave incorrectly.</x:v>
      </x:c>
      <x:c r="H10" s="15" t="str">
        <x:v>Maintain fail-secure design, exception handling standards, negative testing, resource limits, graceful degradation, generic external error messages, availability testing, and unexpected-state testing.</x:v>
      </x:c>
      <x:c r="I10" s="15" t="str">
        <x:v>Medium</x:v>
      </x:c>
      <x:c r="J10" s="15" t="str">
        <x:v>Application Security / Software Engineering</x:v>
      </x:c>
      <x:c r="K10" s="15" t="str">
        <x:v>Detailed resilience and exceptional-condition testing practices were not publicly available.</x:v>
      </x:c>
    </x:row>
    <x:row r="11">
      <x:c r="A11" s="15" t="str">
        <x:v>GAP-010</x:v>
      </x:c>
      <x:c r="B11" s="15" t="str">
        <x:v>Security Control Effectiveness Measurement</x:v>
      </x:c>
      <x:c r="C11" s="15" t="str">
        <x:v>All assessed risks</x:v>
      </x:c>
      <x:c r="D11" s="15" t="str">
        <x:v>C001-C008</x:v>
      </x:c>
      <x:c r="E11" s="15" t="str">
        <x:v>Limited</x:v>
      </x:c>
      <x:c r="F11" s="15" t="str">
        <x:v>Public sources provide evidence of several cybersecurity controls, but do not provide sufficient information to independently determine their operating effectiveness across the assessed environment.</x:v>
      </x:c>
      <x:c r="G11" s="15" t="str">
        <x:v>Without measurable control-effectiveness information, management may have limited visibility into whether controls are consistently reducing risk to intended levels.</x:v>
      </x:c>
      <x:c r="H11" s="15" t="str">
        <x:v>Maintain measurable security and GRC indicators including control compliance rate, access-review completion rate, critical vulnerability remediation time, phishing simulation performance, vendor-assessment completion, backup restoration success rate, Mean Time to Detect, Mean Time to Respond, security-testing remediation rate, and risk-treatment completion rate.</x:v>
      </x:c>
      <x:c r="I11" s="15" t="str">
        <x:v>High</x:v>
      </x:c>
      <x:c r="J11" s="15" t="str">
        <x:v>Information Security Governance / GRC</x:v>
      </x:c>
      <x:c r="K11" s="15" t="str">
        <x:v>Internal KPI, KRI, audit, and control-testing results were not publicly available.</x:v>
      </x:c>
    </x:row>
  </x:sheetData>
  <x:conditionalFormatting sqref="I2:I11">
    <x:cfRule type="expression" dxfId="0" priority="1">
      <x:formula>I2="Critical"</x:formula>
    </x:cfRule>
    <x:cfRule type="expression" dxfId="1" priority="2">
      <x:formula>I2="High"</x:formula>
    </x:cfRule>
    <x:cfRule type="expression" dxfId="2" priority="3">
      <x:formula>I2="Medium"</x:formula>
    </x:cfRule>
    <x:cfRule type="expression" dxfId="3" priority="4">
      <x:formula>I2="Low"</x:formula>
    </x:cfRule>
  </x:conditionalFormatting>
  <x:dataValidations count="2">
    <x:dataValidation type="list" sqref="E2:E11">
      <x:formula1>"Publicly Evidenced,Partially Evidenced,Limited,Not Publicly Verifiable"</x:formula1>
    </x:dataValidation>
    <x:dataValidation type="list" sqref="I2:I1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57fce4bec147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9" t="str">
        <x:v>Control Gap Summary</x:v>
      </x:c>
      <x:c r="B1" s="19" t="str"/>
    </x:row>
    <x:row r="2">
      <x:c r="A2" s="22" t="str">
        <x:v>Total Gaps</x:v>
      </x:c>
      <x:c r="B2" t="n">
        <x:v>10</x:v>
      </x:c>
    </x:row>
    <x:row r="3">
      <x:c r="A3" s="22" t="str">
        <x:v>Critical</x:v>
      </x:c>
      <x:c r="B3" t="n">
        <x:f>COUNTIF('Control Gap Register'!I2:I11,"Critical")</x:f>
        <x:v>1</x:v>
      </x:c>
    </x:row>
    <x:row r="4">
      <x:c r="A4" s="22" t="str">
        <x:v>High</x:v>
      </x:c>
      <x:c r="B4" t="n">
        <x:f>COUNTIF('Control Gap Register'!I2:I11,"High")</x:f>
        <x:v>8</x:v>
      </x:c>
    </x:row>
    <x:row r="5">
      <x:c r="A5" s="22" t="str">
        <x:v>Medium</x:v>
      </x:c>
      <x:c r="B5" t="n">
        <x:f>COUNTIF('Control Gap Register'!I2:I11,"Medium")</x:f>
        <x:v>1</x:v>
      </x:c>
    </x:row>
    <x:row r="6">
      <x:c r="A6" s="22" t="str">
        <x:v>Low</x:v>
      </x:c>
      <x:c r="B6" t="n">
        <x:f>COUNTIF('Control Gap Register'!I2:I11,"Low")</x:f>
        <x:v>0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70c2813f873743c3"/>
</x:worksheet>
</file>