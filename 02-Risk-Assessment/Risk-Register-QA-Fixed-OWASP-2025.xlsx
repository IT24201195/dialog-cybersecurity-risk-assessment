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2A8C2969-C3C8-4720-B7BD-E2C9D83A06BA}" xr6:coauthVersionLast="47" xr6:coauthVersionMax="47" xr10:uidLastSave="{00000000-0000-0000-0000-000000000000}"/>
  <bookViews>
    <workbookView xWindow="-108" yWindow="-108" windowWidth="23256" windowHeight="12456" xr2:uid="{00000000-000D-0000-FFFF-FFFF00000000}"/>
  </bookViews>
  <sheets>
    <sheet name="Risk-Regist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1" i="1" l="1"/>
  <c r="O21" i="1" s="1"/>
  <c r="I21" i="1"/>
  <c r="J21" i="1" s="1"/>
  <c r="N20" i="1"/>
  <c r="O20" i="1" s="1"/>
  <c r="J20" i="1"/>
  <c r="I20" i="1"/>
  <c r="N19" i="1"/>
  <c r="O19" i="1" s="1"/>
  <c r="I19" i="1"/>
  <c r="J19" i="1" s="1"/>
  <c r="N18" i="1"/>
  <c r="O18" i="1" s="1"/>
  <c r="J18" i="1"/>
  <c r="I18" i="1"/>
  <c r="N17" i="1"/>
  <c r="O17" i="1" s="1"/>
  <c r="I17" i="1"/>
  <c r="J17" i="1" s="1"/>
  <c r="O16" i="1"/>
  <c r="N16" i="1"/>
  <c r="I16" i="1"/>
  <c r="J16" i="1" s="1"/>
  <c r="N15" i="1"/>
  <c r="O15" i="1" s="1"/>
  <c r="J15" i="1"/>
  <c r="I15" i="1"/>
  <c r="N14" i="1"/>
  <c r="O14" i="1" s="1"/>
  <c r="J14" i="1"/>
  <c r="I14" i="1"/>
  <c r="O13" i="1"/>
  <c r="N13" i="1"/>
  <c r="I13" i="1"/>
  <c r="J13" i="1" s="1"/>
  <c r="O12" i="1"/>
  <c r="N12" i="1"/>
  <c r="I12" i="1"/>
  <c r="J12" i="1" s="1"/>
  <c r="O11" i="1"/>
  <c r="N11" i="1"/>
  <c r="J11" i="1"/>
  <c r="I11" i="1"/>
  <c r="O10" i="1"/>
  <c r="N10" i="1"/>
  <c r="J10" i="1"/>
  <c r="I10" i="1"/>
  <c r="N9" i="1"/>
  <c r="O9" i="1" s="1"/>
  <c r="J9" i="1"/>
  <c r="I9" i="1"/>
  <c r="O8" i="1"/>
  <c r="N8" i="1"/>
  <c r="I8" i="1"/>
  <c r="J8" i="1" s="1"/>
  <c r="O7" i="1"/>
  <c r="N7" i="1"/>
  <c r="I7" i="1"/>
  <c r="J7" i="1" s="1"/>
  <c r="O6" i="1"/>
  <c r="N6" i="1"/>
  <c r="J6" i="1"/>
  <c r="I6" i="1"/>
  <c r="O5" i="1"/>
  <c r="N5" i="1"/>
  <c r="J5" i="1"/>
  <c r="I5" i="1"/>
  <c r="N4" i="1"/>
  <c r="O4" i="1" s="1"/>
  <c r="J4" i="1"/>
  <c r="I4" i="1"/>
  <c r="O3" i="1"/>
  <c r="N3" i="1"/>
  <c r="J3" i="1"/>
  <c r="I3" i="1"/>
  <c r="O2" i="1"/>
  <c r="N2" i="1"/>
  <c r="J2" i="1"/>
  <c r="I2" i="1"/>
</calcChain>
</file>

<file path=xl/sharedStrings.xml><?xml version="1.0" encoding="utf-8"?>
<sst xmlns="http://schemas.openxmlformats.org/spreadsheetml/2006/main" count="260" uniqueCount="229">
  <si>
    <t>Risk ID</t>
  </si>
  <si>
    <t>Asset ID</t>
  </si>
  <si>
    <t>Asset</t>
  </si>
  <si>
    <t>Threat</t>
  </si>
  <si>
    <t>Vulnerability / Risk Scenario</t>
  </si>
  <si>
    <t>Risk Description</t>
  </si>
  <si>
    <t>Likelihood</t>
  </si>
  <si>
    <t>Impact</t>
  </si>
  <si>
    <t>Inherent Score</t>
  </si>
  <si>
    <t>Inherent Rating</t>
  </si>
  <si>
    <t>Existing/Publicly Documented Controls</t>
  </si>
  <si>
    <t>Residual Likelihood</t>
  </si>
  <si>
    <t>Residual Impact</t>
  </si>
  <si>
    <t>Residual Score</t>
  </si>
  <si>
    <t>Residual Rating</t>
  </si>
  <si>
    <t>Risk Treatment</t>
  </si>
  <si>
    <t>Proposed Risk Owner</t>
  </si>
  <si>
    <t>Evidence / Source</t>
  </si>
  <si>
    <t>Residual Risk Rationale</t>
  </si>
  <si>
    <t>R001</t>
  </si>
  <si>
    <t>A001</t>
  </si>
  <si>
    <t>Customer Personal Information</t>
  </si>
  <si>
    <t>Unauthorized access / data breach</t>
  </si>
  <si>
    <t>Compromised credentials, application vulnerabilities, or security misconfiguration could allow unauthorized access to customer information.</t>
  </si>
  <si>
    <t>Unauthorized disclosure or compromise of customer personal information could result in privacy violations, regulatory consequences, financial losses, fraud, reputational damage, and loss of customer trust.</t>
  </si>
  <si>
    <t>C001 Information Security Management; C002 Security Monitoring; C003 Penetration Testing; C005 Access Controls; C006 Encryption / Security Protection</t>
  </si>
  <si>
    <t>Mitigate - strengthen MFA and access reviews, vulnerability management, data-loss prevention, and incident-response testing.</t>
  </si>
  <si>
    <t>Information Security / Data Protection</t>
  </si>
  <si>
    <t>Dialog Privacy Notice (Updated February 2026); Dialog Axiata PLC Integrated Annual Report 2025</t>
  </si>
  <si>
    <t>Publicly documented information-security management, access controls, security monitoring, penetration testing, and information-protection measures reduce the likelihood of unauthorized access. However, a successful breach involving customer personal information could still have severe privacy, regulatory, financial, and reputational consequences. Therefore, likelihood is reduced from 4 to 2 while impact remains 5, resulting in a residual score of 10 (High).</t>
  </si>
  <si>
    <t>R002</t>
  </si>
  <si>
    <t>A012</t>
  </si>
  <si>
    <t>Customer Authentication Services</t>
  </si>
  <si>
    <t>Credential compromise</t>
  </si>
  <si>
    <t>Phishing, credential stuffing, password reuse, or other credential attacks could allow attackers to obtain valid customer credentials.</t>
  </si>
  <si>
    <t>Compromise of customer authentication could result in unauthorized account access, exposure of personal information, fraudulent activity, and loss of customer trust.</t>
  </si>
  <si>
    <t>Mitigate - strengthen MFA/adaptive authentication, credential-stuffing detection, breached-password monitoring, rate limiting, and suspicious-login detection.</t>
  </si>
  <si>
    <t>Digital Operations / Identity &amp; Access Management</t>
  </si>
  <si>
    <t>Dialog Privacy Notice (Updated February 2026); Dialog public cybersecurity information</t>
  </si>
  <si>
    <t>Documented access controls and security monitoring reduce the likelihood of successful credential-based attacks. However, credential compromise remains possible through phishing, credential reuse, credential stuffing, and evolving attack techniques, while successful account compromise could still have severe consequences. Therefore, likelihood is reduced from 4 to 2 while impact remains 5, resulting in a residual score of 10 (High).</t>
  </si>
  <si>
    <t>R003</t>
  </si>
  <si>
    <t>A011</t>
  </si>
  <si>
    <t>Digital Payment Platform</t>
  </si>
  <si>
    <t>Payment fraud / compromise</t>
  </si>
  <si>
    <t>Compromise of payment-related systems or accounts could allow unauthorized transactions or manipulation of payment processes.</t>
  </si>
  <si>
    <t>Payment-system compromise could result in financial fraud, unauthorized transactions, financial losses, customer disputes, regulatory consequences, and reputational damage.</t>
  </si>
  <si>
    <t>C005 Access Controls; C006 Encryption / Security Protection; C003 Penetration Testing; C002 Security Monitoring</t>
  </si>
  <si>
    <t>Mitigate - strengthen transaction monitoring, fraud detection, transaction limits, strong customer authentication, system segregation, and regular security testing.</t>
  </si>
  <si>
    <t>Finance / Digital Payments</t>
  </si>
  <si>
    <t>Dialog Enterprise public information; Dialog Privacy Notice (Updated February 2026)</t>
  </si>
  <si>
    <t>Access controls, security safeguards, monitoring, and security testing reduce the likelihood of successful compromise of payment-related systems. However, if payment systems were successfully compromised, the potential for fraud, financial loss, customer impact, and regulatory consequences would remain severe. Therefore, likelihood is reduced from 3 to 2 while impact remains 5, resulting in a residual score of 10 (High).</t>
  </si>
  <si>
    <t>R004</t>
  </si>
  <si>
    <t>A013</t>
  </si>
  <si>
    <t>Mobile Network Infrastructure</t>
  </si>
  <si>
    <t>DDoS / service disruption</t>
  </si>
  <si>
    <t>A large-scale denial-of-service attack could overwhelm network or digital service infrastructure and disrupt customer services.</t>
  </si>
  <si>
    <t>Prolonged service disruption could affect customers, revenue, operational continuity, emergency communications, and organizational reputation.</t>
  </si>
  <si>
    <t>C002 Security Monitoring; C007 Incident Response; C008 Business Continuity / Resilience</t>
  </si>
  <si>
    <t>Mitigate - strengthen DDoS protection, traffic filtering, network redundancy, capacity planning, DDoS response playbooks, and resilience testing.</t>
  </si>
  <si>
    <t>Network Operations</t>
  </si>
  <si>
    <t>Dialog Axiata PLC Integrated Annual Report 2025; Dialog public cybersecurity information</t>
  </si>
  <si>
    <t>Security monitoring, incident-response capabilities, and business-continuity/resilience measures reduce the likelihood and duration of successful service-disruption events. However, a major disruption to telecommunications infrastructure could still have severe operational, customer, revenue, and reputational consequences. Therefore, likelihood is reduced from 4 to 2 while impact remains 5, resulting in a residual score of 10 (High).</t>
  </si>
  <si>
    <t>R005</t>
  </si>
  <si>
    <t>A017</t>
  </si>
  <si>
    <t>Cloud Infrastructure</t>
  </si>
  <si>
    <t>Cloud misconfiguration</t>
  </si>
  <si>
    <t>Incorrect configuration of cloud resources, access permissions, storage, or network controls could unintentionally expose systems or sensitive information.</t>
  </si>
  <si>
    <t>Cloud misconfiguration could result in unauthorized access, data exposure, service disruption, or compromise of cloud-hosted business services.</t>
  </si>
  <si>
    <t>C001 Information Security Management; C005 Access Controls; C006 Encryption / Security Protection; C003 Penetration Testing; C002 Security Monitoring</t>
  </si>
  <si>
    <t>Mitigate - implement cloud security posture management, least-privilege IAM, configuration monitoring, infrastructure-as-code security checks, and periodic cloud security assessments.</t>
  </si>
  <si>
    <t>Technology Operations / Cloud Security</t>
  </si>
  <si>
    <t>Dialog Enterprise public information; Dialog Axiata PLC Integrated Annual Report 2025</t>
  </si>
  <si>
    <t>Information-security management, access controls, security safeguards, monitoring, and security testing reduce the likelihood that a cloud misconfiguration will result in successful exploitation. However, misconfigurations cannot be completely eliminated and a significant exposure involving cloud-hosted systems or information could still have severe consequences. Therefore, likelihood is reduced from 3 to 2 while impact remains 5, resulting in a residual score of 10 (High).</t>
  </si>
  <si>
    <t>R006</t>
  </si>
  <si>
    <t>A009</t>
  </si>
  <si>
    <t>Customer Mobile App</t>
  </si>
  <si>
    <t>Application vulnerability</t>
  </si>
  <si>
    <t>An exploitable vulnerability in a customer-facing application could allow unauthorized access, data manipulation, or service disruption.</t>
  </si>
  <si>
    <t>Successful exploitation could expose customer information, compromise accounts, disrupt services, or damage customer trust.</t>
  </si>
  <si>
    <t>C003 Penetration Testing; C002 Security Monitoring; C001 Information Security Management</t>
  </si>
  <si>
    <t>Mitigate - strengthen secure SDLC practices, SAST/DAST, dependency scanning, code review, API security testing, and regular penetration testing.</t>
  </si>
  <si>
    <t>Application Security / Digital Operations</t>
  </si>
  <si>
    <t>Dialog public cybersecurity information; Dialog Enterprise public information</t>
  </si>
  <si>
    <t>Security testing, monitoring, and information-security management reduce the likelihood that application vulnerabilities will remain undetected or be successfully exploited. However, customer-facing applications remain exposed to evolving threats, and successful exploitation could still result in significant data compromise or service disruption. Therefore, likelihood is reduced from 4 to 2 while impact remains 5, resulting in a residual score of 10 (High).</t>
  </si>
  <si>
    <t>R007</t>
  </si>
  <si>
    <t>A022</t>
  </si>
  <si>
    <t>Corporate Email</t>
  </si>
  <si>
    <t>Phishing / employee account compromise</t>
  </si>
  <si>
    <t>Targeted phishing or social-engineering attacks could compromise employee email credentials and provide attackers with access to internal systems or sensitive information.</t>
  </si>
  <si>
    <t>Employee account compromise could lead to unauthorized access, business email compromise, data theft, malware infection, and further compromise of internal systems.</t>
  </si>
  <si>
    <t>C004 Security Awareness / Training; C005 Access Controls; C002 Security Monitoring</t>
  </si>
  <si>
    <t>Mitigate - strengthen MFA, email filtering, phishing simulations, endpoint detection, privileged-account protection, and recurring security awareness training.</t>
  </si>
  <si>
    <t>IT Security / Identity &amp; Access Management</t>
  </si>
  <si>
    <t>Dialog public cybersecurity information; Dialog Integrated Annual Report 2025</t>
  </si>
  <si>
    <t>Security awareness, access controls, and monitoring reduce the likelihood that phishing attempts will successfully compromise employee accounts. Nevertheless, phishing relies heavily on human behavior and cannot be completely prevented. Existing response and detection measures also limit potential consequences, but a successful compromise could still have major business impact. Therefore, likelihood is reduced from 4 to 2 while impact remains 4, resulting in a residual score of 8 (Medium).</t>
  </si>
  <si>
    <t>R008</t>
  </si>
  <si>
    <t>Insider threat</t>
  </si>
  <si>
    <t>A malicious or negligent employee could misuse authorized access to disclose, modify, or improperly handle sensitive information.</t>
  </si>
  <si>
    <t>Misuse of legitimate access could result in data leakage, unauthorized modification, privacy violations, financial losses, regulatory consequences, and reputational damage.</t>
  </si>
  <si>
    <t>C005 Access Controls; C004 Security Awareness / Training; C002 Security Monitoring</t>
  </si>
  <si>
    <t>Mitigate - strengthen least-privilege access, segregation of duties, privileged-access management, user activity monitoring, access recertification, and data-loss prevention.</t>
  </si>
  <si>
    <t>Information Security / Human Resources</t>
  </si>
  <si>
    <t>Access controls, employee security awareness, and monitoring reduce opportunities for unauthorized or inappropriate use of legitimate access. However, insider risk cannot be completely eliminated because authorized personnel necessarily retain access to organizational information and systems. A successful insider incident involving sensitive information could still have severe consequences. Therefore, likelihood is reduced from 3 to 2 while impact remains 5, resulting in a residual score of 10 (High).</t>
  </si>
  <si>
    <t>R009</t>
  </si>
  <si>
    <t>A030</t>
  </si>
  <si>
    <t>Vendor Services / Integrations</t>
  </si>
  <si>
    <t>Third-party / supply-chain compromise</t>
  </si>
  <si>
    <t>A security compromise affecting a third-party provider could propagate into Dialog operations or expose information shared with the provider.</t>
  </si>
  <si>
    <t>Third-party compromise could cause service disruption, unauthorized access, data exposure, financial losses, regulatory consequences, and reputational damage.</t>
  </si>
  <si>
    <t>C001 Information Security Management; C005 Access Controls; C007 Incident Response</t>
  </si>
  <si>
    <t>Mitigate - implement formal vendor risk assessments, critical-vendor classification, security requirements in contracts, periodic reassessment, supplier incident notification, and continuous monitoring.</t>
  </si>
  <si>
    <t>Procurement / Vendor Risk Management</t>
  </si>
  <si>
    <t>Dialog Axiata PLC Integrated Annual Report 2025; Dialog Enterprise public information</t>
  </si>
  <si>
    <t>Information-security governance, access controls, and incident-response capabilities provide some mitigation against third-party compromise. However, reliance on external providers introduces risks that are not entirely under the organization's direct control, and detailed supplier-security effectiveness cannot be independently verified from public information. Therefore, likelihood is reduced from 3 to 2 while impact remains 5, resulting in a residual score of 10 (High).</t>
  </si>
  <si>
    <t>R010</t>
  </si>
  <si>
    <t>A020</t>
  </si>
  <si>
    <t>Backup Infrastructure</t>
  </si>
  <si>
    <t>Backup / recovery failure</t>
  </si>
  <si>
    <t>Failure, corruption, ransomware, or unavailability of backups could prevent timely recovery following a major incident or system failure.</t>
  </si>
  <si>
    <t>Inadequate backup or recovery capability could result in prolonged service disruption, permanent data loss, financial losses, and failure to restore critical business operations.</t>
  </si>
  <si>
    <t>C008 Business Continuity / Resilience; C007 Incident Response; C001 Information Security Management</t>
  </si>
  <si>
    <t>Mitigate - strengthen immutable/offline backups, 3-2-1 backup practices, restoration testing, defined RPO/RTO, ransomware-resistant controls, and backup monitoring.</t>
  </si>
  <si>
    <t>IT Operations / Business Continuity</t>
  </si>
  <si>
    <t>Dialog Axiata PLC Integrated Annual Report 2025; Dialog public information</t>
  </si>
  <si>
    <t>Business-continuity, resilience, incident-response, and information-security management measures reduce the likelihood that backup failure would prevent successful recovery. However, backup corruption, ransomware, technical failure, or recovery-process failure remain possible, and inability to recover critical systems could still have severe operational consequences. Therefore, likelihood is reduced from 3 to 2 while impact remains 5, resulting in a residual score of 10 (High).</t>
  </si>
  <si>
    <t>Risk Reference / Category</t>
  </si>
  <si>
    <t>Enterprise Cyber Risk</t>
  </si>
  <si>
    <t>C005 Access Controls; C002 Security Monitoring</t>
  </si>
  <si>
    <t>R011</t>
  </si>
  <si>
    <t>A010</t>
  </si>
  <si>
    <t>Customer Web Portal</t>
  </si>
  <si>
    <t>Broken access control</t>
  </si>
  <si>
    <t>A potential authorization weakness could allow a user or attacker to access resources, records, functions, or administrative actions outside their intended permission level.</t>
  </si>
  <si>
    <t>If broken access control were present in a customer-facing web application, unauthorized access to customer data or privileged functionality could cause privacy, fraud, regulatory, and reputational impacts.</t>
  </si>
  <si>
    <t>C005 Access Controls; C002 Security Monitoring; C003 Penetration Testing</t>
  </si>
  <si>
    <t>Mitigate - enforce server-side authorization, deny-by-default access rules, least privilege, object-level access checks, authorization testing, and monitoring for access-control abuse.</t>
  </si>
  <si>
    <t>Application Security / Identity &amp; Access Management</t>
  </si>
  <si>
    <t>OWASP Top 10:2025 A01 - https://owasp.org/Top10/2025/A01_2025-Broken_Access_Control/ ; Dialog customer web services/public information</t>
  </si>
  <si>
    <t>Publicly documented access controls, monitoring, and security testing are expected to reduce exploitation likelihood; their operating effectiveness against this specific scenario cannot be independently verified.</t>
  </si>
  <si>
    <t>R012</t>
  </si>
  <si>
    <t>Security misconfiguration</t>
  </si>
  <si>
    <t>A potential insecure default, unnecessary service, verbose error, exposed administrative feature, or incorrect application/cloud security configuration could increase attack exposure.</t>
  </si>
  <si>
    <t>Security misconfiguration affecting an internet-facing customer application could enable unauthorized access, information disclosure, or further compromise.</t>
  </si>
  <si>
    <t>C001 Information Security Management; C003 Penetration Testing; C002 Security Monitoring</t>
  </si>
  <si>
    <t>Mitigate - maintain hardened configuration baselines, remove unnecessary features, automate configuration checks, separate environments, patch promptly, and periodically review cloud/application settings.</t>
  </si>
  <si>
    <t>Application Security / Technology Operations</t>
  </si>
  <si>
    <t>OWASP Top 10:2025 A02 - https://owasp.org/Top10/2025/A02_2025-Security_Misconfiguration/ ; Dialog public digital-services information</t>
  </si>
  <si>
    <t>Information-security governance, security testing, and monitoring should reduce exposure to misconfiguration; specific configuration baselines and control effectiveness are not publicly verifiable.</t>
  </si>
  <si>
    <t>R013</t>
  </si>
  <si>
    <t>Technology Vendor Services</t>
  </si>
  <si>
    <t>Software supply chain failure</t>
  </si>
  <si>
    <t>A compromised software dependency, third-party component, build system, update mechanism, repository, CI/CD component, or vendor service could introduce malicious or vulnerable code.</t>
  </si>
  <si>
    <t>A software supply-chain compromise could affect customer-facing services, enable unauthorized access, disrupt operations, or undermine trust in deployed software.</t>
  </si>
  <si>
    <t>C001 Information Security Management; C007 Incident Response</t>
  </si>
  <si>
    <t>Mitigate - implement software composition analysis, SBOM governance, dependency pinning, trusted repositories, signed artifacts, CI/CD access controls, vendor assurance, and staged updates.</t>
  </si>
  <si>
    <t>Application Security / Vendor Risk Management</t>
  </si>
  <si>
    <t>OWASP Top 10:2025 A03 - https://owasp.org/Top10/2025/A03_2025-Software_Supply_Chain_Failures/ ; Dialog vendor/public information</t>
  </si>
  <si>
    <t>Governance and incident-response capabilities may reduce impact and response time, but public information does not establish detailed software-supply-chain controls; residual risk remains an analytical estimate.</t>
  </si>
  <si>
    <t>R014</t>
  </si>
  <si>
    <t>Cryptographic failure</t>
  </si>
  <si>
    <t>Weak, missing, incorrectly implemented, or poorly managed cryptographic protection could expose sensitive customer information in storage or transit.</t>
  </si>
  <si>
    <t>Failure to adequately protect sensitive information cryptographically could cause unauthorized disclosure, account compromise, privacy harm, and regulatory consequences.</t>
  </si>
  <si>
    <t>C006 Encryption / Security Protection; C003 Penetration Testing</t>
  </si>
  <si>
    <t>Mitigate - enforce approved cryptographic standards, TLS for data in transit, encryption for sensitive data at rest, secure key management, certificate lifecycle controls, and periodic cryptographic review.</t>
  </si>
  <si>
    <t>Information Security / Application Security</t>
  </si>
  <si>
    <t>OWASP Top 10:2025 A04 - https://owasp.org/Top10/2025/A04_2025-Cryptographic_Failures/ ; Dialog Privacy Notice - https://dialog.lk/privacy-notice</t>
  </si>
  <si>
    <t>Publicly documented information-protection measures reduce the likelihood of unprotected sensitive data, but algorithms, key-management practices, and implementation effectiveness cannot be independently verified.</t>
  </si>
  <si>
    <t>R015</t>
  </si>
  <si>
    <t>Injection</t>
  </si>
  <si>
    <t>Untrusted input that is insufficiently validated, parameterized, encoded, or separated from commands/queries could be interpreted by an application, database, or downstream component.</t>
  </si>
  <si>
    <t>Successful injection could allow data disclosure or modification, authentication bypass, command execution, or broader application compromise.</t>
  </si>
  <si>
    <t>Mitigate - use parameterized queries and safe APIs, server-side input validation, context-aware output encoding, SAST/DAST, code review, and monitoring for injection attempts.</t>
  </si>
  <si>
    <t>Application Security / Software Engineering</t>
  </si>
  <si>
    <t>OWASP Top 10:2025 A05 - https://owasp.org/Top10/2025/A05_2025-Injection/ ; Dialog public customer web-services information</t>
  </si>
  <si>
    <t>Security testing, monitoring, and governance are expected to lower exploitation likelihood, but secure coding implementation and testing coverage cannot be independently verified.</t>
  </si>
  <si>
    <t>R016</t>
  </si>
  <si>
    <t>Insecure design</t>
  </si>
  <si>
    <t>Security requirements, threat scenarios, trust boundaries, abuse cases, or security controls may be insufficiently incorporated into application architecture or business logic.</t>
  </si>
  <si>
    <t>A design-level security weakness could permit abuse that cannot be fully corrected through configuration or patching alone and may affect customer accounts, transactions, or sensitive information.</t>
  </si>
  <si>
    <t>C001 Information Security Management; C003 Penetration Testing</t>
  </si>
  <si>
    <t>Mitigate - integrate threat modeling, secure design patterns, abuse-case analysis, security requirements, architecture review, and secure SDLC gates before deployment.</t>
  </si>
  <si>
    <t>Application Security / Solution Architecture</t>
  </si>
  <si>
    <t>OWASP Top 10:2025 A06 - https://owasp.org/Top10/2025/A06_2025-Insecure_Design/ ; Dialog public digital-services information</t>
  </si>
  <si>
    <t>Information-security governance and testing provide some risk reduction, but public sources do not provide sufficient evidence of threat-modeling or secure-design practices for this application.</t>
  </si>
  <si>
    <t>R017</t>
  </si>
  <si>
    <t>Authentication failure</t>
  </si>
  <si>
    <t>Weak credential controls, ineffective MFA, insecure session handling, weak recovery processes, or insufficient protection against automated attacks could enable account takeover.</t>
  </si>
  <si>
    <t>Authentication failure could result in unauthorized customer account access, fraud, privacy compromise, and misuse of customer-facing services.</t>
  </si>
  <si>
    <t>Mitigate - enforce MFA where appropriate, rate limiting, credential-stuffing defenses, secure session management, strong recovery controls, breached-password checks, and authentication monitoring.</t>
  </si>
  <si>
    <t>Identity &amp; Access Management / Application Security</t>
  </si>
  <si>
    <t>OWASP Top 10:2025 A07 - https://owasp.org/Top10/2025/A07_2025-Authentication_Failures/ ; Dialog Privacy Notice - https://dialog.lk/privacy-notice</t>
  </si>
  <si>
    <t>Access controls, monitoring, and security testing reduce the likelihood of common authentication attacks, but detailed MFA/session-control coverage and effectiveness cannot be independently verified.</t>
  </si>
  <si>
    <t>R018</t>
  </si>
  <si>
    <t>Software or data integrity failure</t>
  </si>
  <si>
    <t>An application may rely on software updates, code, serialized data, configuration, or other artifacts without adequately verifying integrity or trust boundaries.</t>
  </si>
  <si>
    <t>Integrity failure could enable tampered software or data to be trusted, potentially resulting in malicious code execution, unauthorized changes, fraud, or compromised application behavior.</t>
  </si>
  <si>
    <t>C001 Information Security Management; C003 Penetration Testing; C007 Incident Response</t>
  </si>
  <si>
    <t>Mitigate - use signed and verified artifacts/updates, integrity checks, protected repositories, controlled deployment pipelines, trusted data validation, and change-management controls.</t>
  </si>
  <si>
    <t>OWASP Top 10:2025 A08 - https://owasp.org/Top10/2025/A08_2025-Software_or_Data_Integrity_Failures/ ; Dialog public digital-services information</t>
  </si>
  <si>
    <t>Governance, security testing, and incident response reduce overall exposure and impact, but public evidence does not establish detailed artifact-signing or integrity-verification controls.</t>
  </si>
  <si>
    <t>R019</t>
  </si>
  <si>
    <t>A026</t>
  </si>
  <si>
    <t>Security Monitoring Systems</t>
  </si>
  <si>
    <t>Security logging and alerting failure</t>
  </si>
  <si>
    <t>Insufficient logging, incomplete audit trails, ineffective alerting, insecure log handling, or lack of monitoring coverage could delay detection and investigation of malicious activity.</t>
  </si>
  <si>
    <t>Logging and alerting failures could allow attacks to remain undetected, weaken incident investigation, and increase the duration and impact of a security incident.</t>
  </si>
  <si>
    <t>C002 Security Monitoring; C007 Incident Response</t>
  </si>
  <si>
    <t>Mitigate - define security logging requirements, centralize protected logs, alert on high-risk events, test detection use cases, maintain retention standards, and measure detection/response effectiveness.</t>
  </si>
  <si>
    <t>Security Operations / Information Security</t>
  </si>
  <si>
    <t>OWASP Top 10:2025 A09 - https://owasp.org/Top10/2025/A09_2025-Security_Logging_and_Alerting_Failures/ ; Dialog public cybersecurity information</t>
  </si>
  <si>
    <t>Publicly documented monitoring and incident-response capabilities reduce risk, but logging coverage, alert quality, retention, and detection effectiveness cannot be independently verified.</t>
  </si>
  <si>
    <t>R020</t>
  </si>
  <si>
    <t>Mishandling of exceptional conditions</t>
  </si>
  <si>
    <t>Improper error handling, unexpected-state handling, resource exhaustion behavior, missing input conditions, or fail-open logic could cause insecure behavior during abnormal conditions.</t>
  </si>
  <si>
    <t>Failure to handle exceptional conditions securely could expose sensitive information, bypass intended controls, create availability issues, or leave the application in an insecure state.</t>
  </si>
  <si>
    <t>C003 Penetration Testing; C007 Incident Response; C008 Business Continuity / Resilience</t>
  </si>
  <si>
    <t>Mitigate - implement secure exception handling, fail-secure behavior, generic external error messages, resource limits, negative testing, graceful degradation, and abnormal-condition test cases.</t>
  </si>
  <si>
    <t>OWASP Top 10:2025 A10 - https://owasp.org/Top10/2025/A10_2025-Mishandling_of_Exceptional_Conditions/ ; Dialog public customer web-services information</t>
  </si>
  <si>
    <t>Testing, response, and resilience capabilities may reduce likelihood and impact, but detailed exceptional-condition handling and negative-testing practices are not publicly verifiable.</t>
  </si>
  <si>
    <t>OWASP Top 10:2025 - A10 Mishandling of Exceptional Conditions</t>
  </si>
  <si>
    <t>OWASP Top 10:2025 - A09 Security Logging &amp; Alerting Failures</t>
  </si>
  <si>
    <t>OWASP Top 10:2025 - A08 Software or Data Integrity Failures</t>
  </si>
  <si>
    <t>OWASP Top 10:2025 - A07 Authentication Failures</t>
  </si>
  <si>
    <t>OWASP Top 10:2025 - A06 Insecure Design</t>
  </si>
  <si>
    <t>OWASP Top 10:2025 - A05 Injection</t>
  </si>
  <si>
    <t>OWASP Top 10:2025 - A04 Cryptographic Failures</t>
  </si>
  <si>
    <t>OWASP Top 10:2025 - A03 Software Supply Chain Failures</t>
  </si>
  <si>
    <t>OWASP Top 10:2025 - A02 Security Misconfiguration</t>
  </si>
  <si>
    <t>OWASP Top 10:2025 - A01 Broken Access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</si>
</sst>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font>
    <font>
      <sz val="10"/>
      <color theme="1"/>
      <name val="Arial"/>
    </font>
    <font>
      <b/>
      <sz val="10"/>
      <color theme="1"/>
      <name val="Arial"/>
    </font>
    <font>
      <b/>
      <sz val="10"/>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horizontal="left" vertical="center" wrapText="1"/>
    </xf>
    <xf numFmtId="0" fontId="3" fillId="0" borderId="0" xfId="0" applyFont="1" applyAlignment="1">
      <alignment wrapText="1"/>
    </xf>
    <xf numFmtId="0" fontId="1" fillId="0" borderId="0" xfId="0" applyFont="1"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isk_Register" displayName="Risk_Register" ref="A1:S15">
  <tableColumns count="19">
    <tableColumn id="1" xr3:uid="{00000000-0010-0000-0000-000001000000}" name="Risk ID"/>
    <tableColumn id="2" xr3:uid="{00000000-0010-0000-0000-000002000000}" name="Asset ID"/>
    <tableColumn id="3" xr3:uid="{00000000-0010-0000-0000-000003000000}" name="Asset"/>
    <tableColumn id="4" xr3:uid="{00000000-0010-0000-0000-000004000000}" name="Threat"/>
    <tableColumn id="5" xr3:uid="{00000000-0010-0000-0000-000005000000}" name="Vulnerability / Risk Scenario"/>
    <tableColumn id="6" xr3:uid="{00000000-0010-0000-0000-000006000000}" name="Risk Description"/>
    <tableColumn id="7" xr3:uid="{00000000-0010-0000-0000-000007000000}" name="Likelihood"/>
    <tableColumn id="8" xr3:uid="{00000000-0010-0000-0000-000008000000}" name="Impact"/>
    <tableColumn id="9" xr3:uid="{00000000-0010-0000-0000-000009000000}" name="Inherent Score"/>
    <tableColumn id="10" xr3:uid="{00000000-0010-0000-0000-00000A000000}" name="Inherent Rating"/>
    <tableColumn id="11" xr3:uid="{00000000-0010-0000-0000-00000B000000}" name="Existing/Publicly Documented Controls"/>
    <tableColumn id="12" xr3:uid="{00000000-0010-0000-0000-00000C000000}" name="Residual Likelihood"/>
    <tableColumn id="13" xr3:uid="{00000000-0010-0000-0000-00000D000000}" name="Residual Impact"/>
    <tableColumn id="14" xr3:uid="{00000000-0010-0000-0000-00000E000000}" name="Residual Score"/>
    <tableColumn id="15" xr3:uid="{00000000-0010-0000-0000-00000F000000}" name="Residual Rating"/>
    <tableColumn id="16" xr3:uid="{00000000-0010-0000-0000-000010000000}" name="Risk Treatment"/>
    <tableColumn id="17" xr3:uid="{00000000-0010-0000-0000-000011000000}" name="Proposed Risk Owner"/>
    <tableColumn id="18" xr3:uid="{00000000-0010-0000-0000-000012000000}" name="Evidence / Source"/>
    <tableColumn id="19" xr3:uid="{00000000-0010-0000-0000-000013000000}" name="Residual Risk Rationale"/>
  </tableColumns>
  <tableStyleInfo name="Risk-Registe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0"/>
  <sheetViews>
    <sheetView tabSelected="1" topLeftCell="A16" workbookViewId="0">
      <selection activeCell="T12" sqref="T12"/>
    </sheetView>
  </sheetViews>
  <sheetFormatPr defaultColWidth="12.6640625" defaultRowHeight="13.2" x14ac:dyDescent="0.25"/>
  <cols>
    <col min="1" max="2" width="10" customWidth="1"/>
    <col min="3" max="3" width="35.21875" customWidth="1"/>
    <col min="4" max="4" width="28" customWidth="1"/>
    <col min="5" max="6" width="42" customWidth="1"/>
    <col min="7" max="7" width="11" customWidth="1"/>
    <col min="8" max="8" width="10" customWidth="1"/>
    <col min="9" max="9" width="13" customWidth="1"/>
    <col min="10" max="10" width="14" customWidth="1"/>
    <col min="11" max="11" width="38" customWidth="1"/>
    <col min="12" max="12" width="16" customWidth="1"/>
    <col min="13" max="15" width="15" customWidth="1"/>
    <col min="16" max="16" width="42" customWidth="1"/>
    <col min="17" max="17" width="28" customWidth="1"/>
    <col min="18" max="18" width="42" customWidth="1"/>
    <col min="19" max="19" width="94.33203125" customWidth="1"/>
    <col min="20" max="20" width="35" customWidth="1"/>
  </cols>
  <sheetData>
    <row r="1" spans="1:20" ht="29.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125</v>
      </c>
    </row>
    <row r="2" spans="1:20" ht="86.4" customHeight="1" x14ac:dyDescent="0.25">
      <c r="A2" s="3" t="s">
        <v>19</v>
      </c>
      <c r="B2" s="3" t="s">
        <v>20</v>
      </c>
      <c r="C2" s="3" t="s">
        <v>21</v>
      </c>
      <c r="D2" s="3" t="s">
        <v>22</v>
      </c>
      <c r="E2" s="3" t="s">
        <v>23</v>
      </c>
      <c r="F2" s="3" t="s">
        <v>24</v>
      </c>
      <c r="G2" s="3">
        <v>4</v>
      </c>
      <c r="H2" s="3">
        <v>5</v>
      </c>
      <c r="I2" s="3">
        <f t="shared" ref="I2:I21" si="0">G2*H2</f>
        <v>20</v>
      </c>
      <c r="J2" s="3" t="str">
        <f t="shared" ref="J2:J21" si="1">IF(I2&lt;=4,"Low",IF(I2&lt;=9,"Medium",IF(I2&lt;=16,"High","Critical")))</f>
        <v>Critical</v>
      </c>
      <c r="K2" s="3" t="s">
        <v>25</v>
      </c>
      <c r="L2" s="3">
        <v>2</v>
      </c>
      <c r="M2" s="3">
        <v>5</v>
      </c>
      <c r="N2" s="3">
        <f t="shared" ref="N2:N21" si="2">L2*M2</f>
        <v>10</v>
      </c>
      <c r="O2" s="3" t="str">
        <f t="shared" ref="O2:O21" si="3">IF(N2&lt;=4,"Low",IF(N2&lt;=9,"Medium",IF(N2&lt;=16,"High","Critical")))</f>
        <v>High</v>
      </c>
      <c r="P2" s="3" t="s">
        <v>26</v>
      </c>
      <c r="Q2" s="3" t="s">
        <v>27</v>
      </c>
      <c r="R2" s="3" t="s">
        <v>28</v>
      </c>
      <c r="S2" s="4" t="s">
        <v>29</v>
      </c>
      <c r="T2" s="4" t="s">
        <v>126</v>
      </c>
    </row>
    <row r="3" spans="1:20" ht="70.8" customHeight="1" x14ac:dyDescent="0.25">
      <c r="A3" s="3" t="s">
        <v>30</v>
      </c>
      <c r="B3" s="3" t="s">
        <v>31</v>
      </c>
      <c r="C3" s="3" t="s">
        <v>32</v>
      </c>
      <c r="D3" s="3" t="s">
        <v>33</v>
      </c>
      <c r="E3" s="3" t="s">
        <v>34</v>
      </c>
      <c r="F3" s="3" t="s">
        <v>35</v>
      </c>
      <c r="G3" s="3">
        <v>4</v>
      </c>
      <c r="H3" s="3">
        <v>5</v>
      </c>
      <c r="I3" s="3">
        <f t="shared" si="0"/>
        <v>20</v>
      </c>
      <c r="J3" s="3" t="str">
        <f t="shared" si="1"/>
        <v>Critical</v>
      </c>
      <c r="K3" s="3" t="s">
        <v>127</v>
      </c>
      <c r="L3" s="3">
        <v>2</v>
      </c>
      <c r="M3" s="3">
        <v>5</v>
      </c>
      <c r="N3" s="3">
        <f t="shared" si="2"/>
        <v>10</v>
      </c>
      <c r="O3" s="3" t="str">
        <f t="shared" si="3"/>
        <v>High</v>
      </c>
      <c r="P3" s="3" t="s">
        <v>36</v>
      </c>
      <c r="Q3" s="3" t="s">
        <v>37</v>
      </c>
      <c r="R3" s="3" t="s">
        <v>38</v>
      </c>
      <c r="S3" s="4" t="s">
        <v>39</v>
      </c>
      <c r="T3" s="4" t="s">
        <v>126</v>
      </c>
    </row>
    <row r="4" spans="1:20" ht="75.599999999999994" customHeight="1" x14ac:dyDescent="0.25">
      <c r="A4" s="3" t="s">
        <v>40</v>
      </c>
      <c r="B4" s="3" t="s">
        <v>41</v>
      </c>
      <c r="C4" s="3" t="s">
        <v>42</v>
      </c>
      <c r="D4" s="3" t="s">
        <v>43</v>
      </c>
      <c r="E4" s="3" t="s">
        <v>44</v>
      </c>
      <c r="F4" s="3" t="s">
        <v>45</v>
      </c>
      <c r="G4" s="3">
        <v>3</v>
      </c>
      <c r="H4" s="3">
        <v>5</v>
      </c>
      <c r="I4" s="3">
        <f t="shared" si="0"/>
        <v>15</v>
      </c>
      <c r="J4" s="3" t="str">
        <f t="shared" si="1"/>
        <v>High</v>
      </c>
      <c r="K4" s="3" t="s">
        <v>46</v>
      </c>
      <c r="L4" s="3">
        <v>2</v>
      </c>
      <c r="M4" s="3">
        <v>5</v>
      </c>
      <c r="N4" s="3">
        <f t="shared" si="2"/>
        <v>10</v>
      </c>
      <c r="O4" s="3" t="str">
        <f t="shared" si="3"/>
        <v>High</v>
      </c>
      <c r="P4" s="3" t="s">
        <v>47</v>
      </c>
      <c r="Q4" s="3" t="s">
        <v>48</v>
      </c>
      <c r="R4" s="3" t="s">
        <v>49</v>
      </c>
      <c r="S4" s="4" t="s">
        <v>50</v>
      </c>
      <c r="T4" s="4" t="s">
        <v>126</v>
      </c>
    </row>
    <row r="5" spans="1:20" ht="75.599999999999994" customHeight="1" x14ac:dyDescent="0.25">
      <c r="A5" s="3" t="s">
        <v>51</v>
      </c>
      <c r="B5" s="3" t="s">
        <v>52</v>
      </c>
      <c r="C5" s="3" t="s">
        <v>53</v>
      </c>
      <c r="D5" s="3" t="s">
        <v>54</v>
      </c>
      <c r="E5" s="3" t="s">
        <v>55</v>
      </c>
      <c r="F5" s="3" t="s">
        <v>56</v>
      </c>
      <c r="G5" s="3">
        <v>4</v>
      </c>
      <c r="H5" s="3">
        <v>5</v>
      </c>
      <c r="I5" s="3">
        <f t="shared" si="0"/>
        <v>20</v>
      </c>
      <c r="J5" s="3" t="str">
        <f t="shared" si="1"/>
        <v>Critical</v>
      </c>
      <c r="K5" s="3" t="s">
        <v>57</v>
      </c>
      <c r="L5" s="3">
        <v>2</v>
      </c>
      <c r="M5" s="3">
        <v>5</v>
      </c>
      <c r="N5" s="3">
        <f t="shared" si="2"/>
        <v>10</v>
      </c>
      <c r="O5" s="3" t="str">
        <f t="shared" si="3"/>
        <v>High</v>
      </c>
      <c r="P5" s="3" t="s">
        <v>58</v>
      </c>
      <c r="Q5" s="3" t="s">
        <v>59</v>
      </c>
      <c r="R5" s="3" t="s">
        <v>60</v>
      </c>
      <c r="S5" s="4" t="s">
        <v>61</v>
      </c>
      <c r="T5" s="4" t="s">
        <v>126</v>
      </c>
    </row>
    <row r="6" spans="1:20" ht="79.8" customHeight="1" x14ac:dyDescent="0.25">
      <c r="A6" s="3" t="s">
        <v>62</v>
      </c>
      <c r="B6" s="3" t="s">
        <v>63</v>
      </c>
      <c r="C6" s="3" t="s">
        <v>64</v>
      </c>
      <c r="D6" s="3" t="s">
        <v>65</v>
      </c>
      <c r="E6" s="3" t="s">
        <v>66</v>
      </c>
      <c r="F6" s="3" t="s">
        <v>67</v>
      </c>
      <c r="G6" s="3">
        <v>3</v>
      </c>
      <c r="H6" s="3">
        <v>5</v>
      </c>
      <c r="I6" s="3">
        <f t="shared" si="0"/>
        <v>15</v>
      </c>
      <c r="J6" s="3" t="str">
        <f t="shared" si="1"/>
        <v>High</v>
      </c>
      <c r="K6" s="3" t="s">
        <v>68</v>
      </c>
      <c r="L6" s="3">
        <v>2</v>
      </c>
      <c r="M6" s="3">
        <v>5</v>
      </c>
      <c r="N6" s="3">
        <f t="shared" si="2"/>
        <v>10</v>
      </c>
      <c r="O6" s="3" t="str">
        <f t="shared" si="3"/>
        <v>High</v>
      </c>
      <c r="P6" s="3" t="s">
        <v>69</v>
      </c>
      <c r="Q6" s="3" t="s">
        <v>70</v>
      </c>
      <c r="R6" s="3" t="s">
        <v>71</v>
      </c>
      <c r="S6" s="4" t="s">
        <v>72</v>
      </c>
      <c r="T6" s="4" t="s">
        <v>126</v>
      </c>
    </row>
    <row r="7" spans="1:20" ht="66.599999999999994" customHeight="1" x14ac:dyDescent="0.25">
      <c r="A7" s="3" t="s">
        <v>73</v>
      </c>
      <c r="B7" s="3" t="s">
        <v>74</v>
      </c>
      <c r="C7" s="3" t="s">
        <v>75</v>
      </c>
      <c r="D7" s="3" t="s">
        <v>76</v>
      </c>
      <c r="E7" s="3" t="s">
        <v>77</v>
      </c>
      <c r="F7" s="3" t="s">
        <v>78</v>
      </c>
      <c r="G7" s="3">
        <v>4</v>
      </c>
      <c r="H7" s="3">
        <v>5</v>
      </c>
      <c r="I7" s="3">
        <f t="shared" si="0"/>
        <v>20</v>
      </c>
      <c r="J7" s="3" t="str">
        <f t="shared" si="1"/>
        <v>Critical</v>
      </c>
      <c r="K7" s="3" t="s">
        <v>79</v>
      </c>
      <c r="L7" s="3">
        <v>2</v>
      </c>
      <c r="M7" s="3">
        <v>5</v>
      </c>
      <c r="N7" s="3">
        <f t="shared" si="2"/>
        <v>10</v>
      </c>
      <c r="O7" s="3" t="str">
        <f t="shared" si="3"/>
        <v>High</v>
      </c>
      <c r="P7" s="3" t="s">
        <v>80</v>
      </c>
      <c r="Q7" s="3" t="s">
        <v>81</v>
      </c>
      <c r="R7" s="3" t="s">
        <v>82</v>
      </c>
      <c r="S7" s="4" t="s">
        <v>83</v>
      </c>
      <c r="T7" s="4" t="s">
        <v>126</v>
      </c>
    </row>
    <row r="8" spans="1:20" ht="75" customHeight="1" x14ac:dyDescent="0.25">
      <c r="A8" s="3" t="s">
        <v>84</v>
      </c>
      <c r="B8" s="3" t="s">
        <v>85</v>
      </c>
      <c r="C8" s="3" t="s">
        <v>86</v>
      </c>
      <c r="D8" s="3" t="s">
        <v>87</v>
      </c>
      <c r="E8" s="3" t="s">
        <v>88</v>
      </c>
      <c r="F8" s="3" t="s">
        <v>89</v>
      </c>
      <c r="G8" s="3">
        <v>4</v>
      </c>
      <c r="H8" s="3">
        <v>4</v>
      </c>
      <c r="I8" s="3">
        <f t="shared" si="0"/>
        <v>16</v>
      </c>
      <c r="J8" s="3" t="str">
        <f t="shared" si="1"/>
        <v>High</v>
      </c>
      <c r="K8" s="3" t="s">
        <v>90</v>
      </c>
      <c r="L8" s="3">
        <v>2</v>
      </c>
      <c r="M8" s="3">
        <v>4</v>
      </c>
      <c r="N8" s="3">
        <f t="shared" si="2"/>
        <v>8</v>
      </c>
      <c r="O8" s="3" t="str">
        <f t="shared" si="3"/>
        <v>Medium</v>
      </c>
      <c r="P8" s="3" t="s">
        <v>91</v>
      </c>
      <c r="Q8" s="3" t="s">
        <v>92</v>
      </c>
      <c r="R8" s="3" t="s">
        <v>93</v>
      </c>
      <c r="S8" s="4" t="s">
        <v>94</v>
      </c>
      <c r="T8" s="4" t="s">
        <v>126</v>
      </c>
    </row>
    <row r="9" spans="1:20" ht="82.2" customHeight="1" x14ac:dyDescent="0.25">
      <c r="A9" s="3" t="s">
        <v>95</v>
      </c>
      <c r="B9" s="3" t="s">
        <v>20</v>
      </c>
      <c r="C9" s="3" t="s">
        <v>21</v>
      </c>
      <c r="D9" s="3" t="s">
        <v>96</v>
      </c>
      <c r="E9" s="3" t="s">
        <v>97</v>
      </c>
      <c r="F9" s="3" t="s">
        <v>98</v>
      </c>
      <c r="G9" s="3">
        <v>3</v>
      </c>
      <c r="H9" s="3">
        <v>5</v>
      </c>
      <c r="I9" s="3">
        <f t="shared" si="0"/>
        <v>15</v>
      </c>
      <c r="J9" s="3" t="str">
        <f t="shared" si="1"/>
        <v>High</v>
      </c>
      <c r="K9" s="3" t="s">
        <v>99</v>
      </c>
      <c r="L9" s="3">
        <v>2</v>
      </c>
      <c r="M9" s="3">
        <v>5</v>
      </c>
      <c r="N9" s="3">
        <f t="shared" si="2"/>
        <v>10</v>
      </c>
      <c r="O9" s="3" t="str">
        <f t="shared" si="3"/>
        <v>High</v>
      </c>
      <c r="P9" s="3" t="s">
        <v>100</v>
      </c>
      <c r="Q9" s="3" t="s">
        <v>101</v>
      </c>
      <c r="R9" s="3" t="s">
        <v>38</v>
      </c>
      <c r="S9" s="4" t="s">
        <v>102</v>
      </c>
      <c r="T9" s="4" t="s">
        <v>126</v>
      </c>
    </row>
    <row r="10" spans="1:20" ht="70.2" customHeight="1" x14ac:dyDescent="0.25">
      <c r="A10" s="3" t="s">
        <v>103</v>
      </c>
      <c r="B10" s="3" t="s">
        <v>104</v>
      </c>
      <c r="C10" s="3" t="s">
        <v>105</v>
      </c>
      <c r="D10" s="3" t="s">
        <v>106</v>
      </c>
      <c r="E10" s="3" t="s">
        <v>107</v>
      </c>
      <c r="F10" s="3" t="s">
        <v>108</v>
      </c>
      <c r="G10" s="3">
        <v>3</v>
      </c>
      <c r="H10" s="3">
        <v>5</v>
      </c>
      <c r="I10" s="3">
        <f t="shared" si="0"/>
        <v>15</v>
      </c>
      <c r="J10" s="3" t="str">
        <f t="shared" si="1"/>
        <v>High</v>
      </c>
      <c r="K10" s="3" t="s">
        <v>109</v>
      </c>
      <c r="L10" s="3">
        <v>2</v>
      </c>
      <c r="M10" s="3">
        <v>5</v>
      </c>
      <c r="N10" s="3">
        <f t="shared" si="2"/>
        <v>10</v>
      </c>
      <c r="O10" s="3" t="str">
        <f t="shared" si="3"/>
        <v>High</v>
      </c>
      <c r="P10" s="3" t="s">
        <v>110</v>
      </c>
      <c r="Q10" s="3" t="s">
        <v>111</v>
      </c>
      <c r="R10" s="3" t="s">
        <v>112</v>
      </c>
      <c r="S10" s="4" t="s">
        <v>113</v>
      </c>
      <c r="T10" s="4" t="s">
        <v>126</v>
      </c>
    </row>
    <row r="11" spans="1:20" ht="76.8" customHeight="1" x14ac:dyDescent="0.25">
      <c r="A11" s="3" t="s">
        <v>114</v>
      </c>
      <c r="B11" s="3" t="s">
        <v>115</v>
      </c>
      <c r="C11" s="3" t="s">
        <v>116</v>
      </c>
      <c r="D11" s="3" t="s">
        <v>117</v>
      </c>
      <c r="E11" s="3" t="s">
        <v>118</v>
      </c>
      <c r="F11" s="3" t="s">
        <v>119</v>
      </c>
      <c r="G11" s="3">
        <v>3</v>
      </c>
      <c r="H11" s="3">
        <v>5</v>
      </c>
      <c r="I11" s="3">
        <f t="shared" si="0"/>
        <v>15</v>
      </c>
      <c r="J11" s="3" t="str">
        <f t="shared" si="1"/>
        <v>High</v>
      </c>
      <c r="K11" s="3" t="s">
        <v>120</v>
      </c>
      <c r="L11" s="3">
        <v>2</v>
      </c>
      <c r="M11" s="3">
        <v>5</v>
      </c>
      <c r="N11" s="3">
        <f t="shared" si="2"/>
        <v>10</v>
      </c>
      <c r="O11" s="3" t="str">
        <f t="shared" si="3"/>
        <v>High</v>
      </c>
      <c r="P11" s="3" t="s">
        <v>121</v>
      </c>
      <c r="Q11" s="3" t="s">
        <v>122</v>
      </c>
      <c r="R11" s="3" t="s">
        <v>123</v>
      </c>
      <c r="S11" s="4" t="s">
        <v>124</v>
      </c>
      <c r="T11" s="4" t="s">
        <v>126</v>
      </c>
    </row>
    <row r="12" spans="1:20" ht="82.2" customHeight="1" x14ac:dyDescent="0.25">
      <c r="A12" s="3" t="s">
        <v>128</v>
      </c>
      <c r="B12" s="3" t="s">
        <v>129</v>
      </c>
      <c r="C12" s="3" t="s">
        <v>130</v>
      </c>
      <c r="D12" s="3" t="s">
        <v>131</v>
      </c>
      <c r="E12" s="3" t="s">
        <v>132</v>
      </c>
      <c r="F12" s="3" t="s">
        <v>133</v>
      </c>
      <c r="G12" s="4">
        <v>4</v>
      </c>
      <c r="H12" s="4">
        <v>5</v>
      </c>
      <c r="I12" s="4">
        <f t="shared" si="0"/>
        <v>20</v>
      </c>
      <c r="J12" s="4" t="str">
        <f t="shared" si="1"/>
        <v>Critical</v>
      </c>
      <c r="K12" s="4" t="s">
        <v>134</v>
      </c>
      <c r="L12" s="4">
        <v>2</v>
      </c>
      <c r="M12" s="4">
        <v>5</v>
      </c>
      <c r="N12" s="4">
        <f t="shared" si="2"/>
        <v>10</v>
      </c>
      <c r="O12" s="4" t="str">
        <f t="shared" si="3"/>
        <v>High</v>
      </c>
      <c r="P12" s="4" t="s">
        <v>135</v>
      </c>
      <c r="Q12" s="4" t="s">
        <v>136</v>
      </c>
      <c r="R12" s="4" t="s">
        <v>137</v>
      </c>
      <c r="S12" s="4" t="s">
        <v>138</v>
      </c>
      <c r="T12" s="4" t="s">
        <v>228</v>
      </c>
    </row>
    <row r="13" spans="1:20" ht="86.4" customHeight="1" x14ac:dyDescent="0.25">
      <c r="A13" s="3" t="s">
        <v>139</v>
      </c>
      <c r="B13" s="3" t="s">
        <v>129</v>
      </c>
      <c r="C13" s="3" t="s">
        <v>130</v>
      </c>
      <c r="D13" s="3" t="s">
        <v>140</v>
      </c>
      <c r="E13" s="3" t="s">
        <v>141</v>
      </c>
      <c r="F13" s="3" t="s">
        <v>142</v>
      </c>
      <c r="G13" s="4">
        <v>4</v>
      </c>
      <c r="H13" s="4">
        <v>5</v>
      </c>
      <c r="I13" s="4">
        <f t="shared" si="0"/>
        <v>20</v>
      </c>
      <c r="J13" s="4" t="str">
        <f t="shared" si="1"/>
        <v>Critical</v>
      </c>
      <c r="K13" s="4" t="s">
        <v>143</v>
      </c>
      <c r="L13" s="4">
        <v>2</v>
      </c>
      <c r="M13" s="4">
        <v>5</v>
      </c>
      <c r="N13" s="4">
        <f t="shared" si="2"/>
        <v>10</v>
      </c>
      <c r="O13" s="4" t="str">
        <f t="shared" si="3"/>
        <v>High</v>
      </c>
      <c r="P13" s="4" t="s">
        <v>144</v>
      </c>
      <c r="Q13" s="4" t="s">
        <v>145</v>
      </c>
      <c r="R13" s="4" t="s">
        <v>146</v>
      </c>
      <c r="S13" s="4" t="s">
        <v>147</v>
      </c>
      <c r="T13" s="4" t="s">
        <v>227</v>
      </c>
    </row>
    <row r="14" spans="1:20" ht="92.4" customHeight="1" x14ac:dyDescent="0.25">
      <c r="A14" s="3" t="s">
        <v>148</v>
      </c>
      <c r="B14" s="3" t="s">
        <v>104</v>
      </c>
      <c r="C14" s="3" t="s">
        <v>149</v>
      </c>
      <c r="D14" s="3" t="s">
        <v>150</v>
      </c>
      <c r="E14" s="3" t="s">
        <v>151</v>
      </c>
      <c r="F14" s="3" t="s">
        <v>152</v>
      </c>
      <c r="G14" s="4">
        <v>3</v>
      </c>
      <c r="H14" s="4">
        <v>5</v>
      </c>
      <c r="I14" s="4">
        <f t="shared" si="0"/>
        <v>15</v>
      </c>
      <c r="J14" s="4" t="str">
        <f t="shared" si="1"/>
        <v>High</v>
      </c>
      <c r="K14" s="4" t="s">
        <v>153</v>
      </c>
      <c r="L14" s="4">
        <v>2</v>
      </c>
      <c r="M14" s="4">
        <v>5</v>
      </c>
      <c r="N14" s="4">
        <f t="shared" si="2"/>
        <v>10</v>
      </c>
      <c r="O14" s="4" t="str">
        <f t="shared" si="3"/>
        <v>High</v>
      </c>
      <c r="P14" s="4" t="s">
        <v>154</v>
      </c>
      <c r="Q14" s="4" t="s">
        <v>155</v>
      </c>
      <c r="R14" s="4" t="s">
        <v>156</v>
      </c>
      <c r="S14" s="4" t="s">
        <v>157</v>
      </c>
      <c r="T14" s="4" t="s">
        <v>226</v>
      </c>
    </row>
    <row r="15" spans="1:20" ht="88.2" customHeight="1" x14ac:dyDescent="0.25">
      <c r="A15" s="3" t="s">
        <v>158</v>
      </c>
      <c r="B15" s="3" t="s">
        <v>20</v>
      </c>
      <c r="C15" s="3" t="s">
        <v>21</v>
      </c>
      <c r="D15" s="3" t="s">
        <v>159</v>
      </c>
      <c r="E15" s="3" t="s">
        <v>160</v>
      </c>
      <c r="F15" s="3" t="s">
        <v>161</v>
      </c>
      <c r="G15" s="4">
        <v>3</v>
      </c>
      <c r="H15" s="4">
        <v>5</v>
      </c>
      <c r="I15" s="4">
        <f t="shared" si="0"/>
        <v>15</v>
      </c>
      <c r="J15" s="4" t="str">
        <f t="shared" si="1"/>
        <v>High</v>
      </c>
      <c r="K15" s="4" t="s">
        <v>162</v>
      </c>
      <c r="L15" s="4">
        <v>2</v>
      </c>
      <c r="M15" s="4">
        <v>5</v>
      </c>
      <c r="N15" s="4">
        <f t="shared" si="2"/>
        <v>10</v>
      </c>
      <c r="O15" s="4" t="str">
        <f t="shared" si="3"/>
        <v>High</v>
      </c>
      <c r="P15" s="4" t="s">
        <v>163</v>
      </c>
      <c r="Q15" s="4" t="s">
        <v>164</v>
      </c>
      <c r="R15" s="4" t="s">
        <v>165</v>
      </c>
      <c r="S15" s="4" t="s">
        <v>166</v>
      </c>
      <c r="T15" s="4" t="s">
        <v>225</v>
      </c>
    </row>
    <row r="16" spans="1:20" ht="57.6" customHeight="1" x14ac:dyDescent="0.25">
      <c r="A16" s="4" t="s">
        <v>167</v>
      </c>
      <c r="B16" s="4" t="s">
        <v>129</v>
      </c>
      <c r="C16" s="4" t="s">
        <v>130</v>
      </c>
      <c r="D16" s="4" t="s">
        <v>168</v>
      </c>
      <c r="E16" s="4" t="s">
        <v>169</v>
      </c>
      <c r="F16" s="4" t="s">
        <v>170</v>
      </c>
      <c r="G16" s="4">
        <v>4</v>
      </c>
      <c r="H16" s="4">
        <v>5</v>
      </c>
      <c r="I16" s="4">
        <f t="shared" si="0"/>
        <v>20</v>
      </c>
      <c r="J16" s="4" t="str">
        <f t="shared" si="1"/>
        <v>Critical</v>
      </c>
      <c r="K16" s="4" t="s">
        <v>79</v>
      </c>
      <c r="L16" s="4">
        <v>2</v>
      </c>
      <c r="M16" s="4">
        <v>5</v>
      </c>
      <c r="N16" s="4">
        <f t="shared" si="2"/>
        <v>10</v>
      </c>
      <c r="O16" s="4" t="str">
        <f t="shared" si="3"/>
        <v>High</v>
      </c>
      <c r="P16" s="4" t="s">
        <v>171</v>
      </c>
      <c r="Q16" s="4" t="s">
        <v>172</v>
      </c>
      <c r="R16" s="4" t="s">
        <v>173</v>
      </c>
      <c r="S16" s="4" t="s">
        <v>174</v>
      </c>
      <c r="T16" s="4" t="s">
        <v>224</v>
      </c>
    </row>
    <row r="17" spans="1:20" ht="82.2" customHeight="1" x14ac:dyDescent="0.25">
      <c r="A17" s="4" t="s">
        <v>175</v>
      </c>
      <c r="B17" s="4" t="s">
        <v>74</v>
      </c>
      <c r="C17" s="4" t="s">
        <v>75</v>
      </c>
      <c r="D17" s="4" t="s">
        <v>176</v>
      </c>
      <c r="E17" s="4" t="s">
        <v>177</v>
      </c>
      <c r="F17" s="4" t="s">
        <v>178</v>
      </c>
      <c r="G17" s="4">
        <v>3</v>
      </c>
      <c r="H17" s="4">
        <v>5</v>
      </c>
      <c r="I17" s="4">
        <f t="shared" si="0"/>
        <v>15</v>
      </c>
      <c r="J17" s="4" t="str">
        <f t="shared" si="1"/>
        <v>High</v>
      </c>
      <c r="K17" s="4" t="s">
        <v>179</v>
      </c>
      <c r="L17" s="4">
        <v>2</v>
      </c>
      <c r="M17" s="4">
        <v>5</v>
      </c>
      <c r="N17" s="4">
        <f t="shared" si="2"/>
        <v>10</v>
      </c>
      <c r="O17" s="4" t="str">
        <f t="shared" si="3"/>
        <v>High</v>
      </c>
      <c r="P17" s="4" t="s">
        <v>180</v>
      </c>
      <c r="Q17" s="4" t="s">
        <v>181</v>
      </c>
      <c r="R17" s="4" t="s">
        <v>182</v>
      </c>
      <c r="S17" s="4" t="s">
        <v>183</v>
      </c>
      <c r="T17" s="4" t="s">
        <v>223</v>
      </c>
    </row>
    <row r="18" spans="1:20" ht="82.8" customHeight="1" x14ac:dyDescent="0.25">
      <c r="A18" s="4" t="s">
        <v>184</v>
      </c>
      <c r="B18" s="4" t="s">
        <v>31</v>
      </c>
      <c r="C18" s="4" t="s">
        <v>32</v>
      </c>
      <c r="D18" s="4" t="s">
        <v>185</v>
      </c>
      <c r="E18" s="4" t="s">
        <v>186</v>
      </c>
      <c r="F18" s="4" t="s">
        <v>187</v>
      </c>
      <c r="G18" s="4">
        <v>4</v>
      </c>
      <c r="H18" s="4">
        <v>5</v>
      </c>
      <c r="I18" s="4">
        <f t="shared" si="0"/>
        <v>20</v>
      </c>
      <c r="J18" s="4" t="str">
        <f t="shared" si="1"/>
        <v>Critical</v>
      </c>
      <c r="K18" s="4" t="s">
        <v>134</v>
      </c>
      <c r="L18" s="4">
        <v>2</v>
      </c>
      <c r="M18" s="4">
        <v>5</v>
      </c>
      <c r="N18" s="4">
        <f t="shared" si="2"/>
        <v>10</v>
      </c>
      <c r="O18" s="4" t="str">
        <f t="shared" si="3"/>
        <v>High</v>
      </c>
      <c r="P18" s="4" t="s">
        <v>188</v>
      </c>
      <c r="Q18" s="4" t="s">
        <v>189</v>
      </c>
      <c r="R18" s="4" t="s">
        <v>190</v>
      </c>
      <c r="S18" s="4" t="s">
        <v>191</v>
      </c>
      <c r="T18" s="4" t="s">
        <v>222</v>
      </c>
    </row>
    <row r="19" spans="1:20" ht="77.400000000000006" customHeight="1" x14ac:dyDescent="0.25">
      <c r="A19" s="4" t="s">
        <v>192</v>
      </c>
      <c r="B19" s="4" t="s">
        <v>74</v>
      </c>
      <c r="C19" s="4" t="s">
        <v>75</v>
      </c>
      <c r="D19" s="4" t="s">
        <v>193</v>
      </c>
      <c r="E19" s="4" t="s">
        <v>194</v>
      </c>
      <c r="F19" s="4" t="s">
        <v>195</v>
      </c>
      <c r="G19" s="4">
        <v>3</v>
      </c>
      <c r="H19" s="4">
        <v>5</v>
      </c>
      <c r="I19" s="4">
        <f t="shared" si="0"/>
        <v>15</v>
      </c>
      <c r="J19" s="4" t="str">
        <f t="shared" si="1"/>
        <v>High</v>
      </c>
      <c r="K19" s="4" t="s">
        <v>196</v>
      </c>
      <c r="L19" s="4">
        <v>2</v>
      </c>
      <c r="M19" s="4">
        <v>5</v>
      </c>
      <c r="N19" s="4">
        <f t="shared" si="2"/>
        <v>10</v>
      </c>
      <c r="O19" s="4" t="str">
        <f t="shared" si="3"/>
        <v>High</v>
      </c>
      <c r="P19" s="4" t="s">
        <v>197</v>
      </c>
      <c r="Q19" s="4" t="s">
        <v>172</v>
      </c>
      <c r="R19" s="4" t="s">
        <v>198</v>
      </c>
      <c r="S19" s="4" t="s">
        <v>199</v>
      </c>
      <c r="T19" s="4" t="s">
        <v>221</v>
      </c>
    </row>
    <row r="20" spans="1:20" ht="81" customHeight="1" x14ac:dyDescent="0.25">
      <c r="A20" s="4" t="s">
        <v>200</v>
      </c>
      <c r="B20" s="4" t="s">
        <v>201</v>
      </c>
      <c r="C20" s="4" t="s">
        <v>202</v>
      </c>
      <c r="D20" s="4" t="s">
        <v>203</v>
      </c>
      <c r="E20" s="4" t="s">
        <v>204</v>
      </c>
      <c r="F20" s="4" t="s">
        <v>205</v>
      </c>
      <c r="G20" s="4">
        <v>3</v>
      </c>
      <c r="H20" s="4">
        <v>4</v>
      </c>
      <c r="I20" s="4">
        <f t="shared" si="0"/>
        <v>12</v>
      </c>
      <c r="J20" s="4" t="str">
        <f t="shared" si="1"/>
        <v>High</v>
      </c>
      <c r="K20" s="4" t="s">
        <v>206</v>
      </c>
      <c r="L20" s="4">
        <v>2</v>
      </c>
      <c r="M20" s="4">
        <v>4</v>
      </c>
      <c r="N20" s="4">
        <f t="shared" si="2"/>
        <v>8</v>
      </c>
      <c r="O20" s="4" t="str">
        <f t="shared" si="3"/>
        <v>Medium</v>
      </c>
      <c r="P20" s="4" t="s">
        <v>207</v>
      </c>
      <c r="Q20" s="4" t="s">
        <v>208</v>
      </c>
      <c r="R20" s="4" t="s">
        <v>209</v>
      </c>
      <c r="S20" s="4" t="s">
        <v>210</v>
      </c>
      <c r="T20" s="4" t="s">
        <v>220</v>
      </c>
    </row>
    <row r="21" spans="1:20" ht="78.599999999999994" customHeight="1" x14ac:dyDescent="0.25">
      <c r="A21" s="4" t="s">
        <v>211</v>
      </c>
      <c r="B21" s="4" t="s">
        <v>129</v>
      </c>
      <c r="C21" s="4" t="s">
        <v>130</v>
      </c>
      <c r="D21" s="4" t="s">
        <v>212</v>
      </c>
      <c r="E21" s="4" t="s">
        <v>213</v>
      </c>
      <c r="F21" s="4" t="s">
        <v>214</v>
      </c>
      <c r="G21" s="4">
        <v>3</v>
      </c>
      <c r="H21" s="4">
        <v>4</v>
      </c>
      <c r="I21" s="4">
        <f t="shared" si="0"/>
        <v>12</v>
      </c>
      <c r="J21" s="4" t="str">
        <f t="shared" si="1"/>
        <v>High</v>
      </c>
      <c r="K21" s="4" t="s">
        <v>215</v>
      </c>
      <c r="L21" s="4">
        <v>2</v>
      </c>
      <c r="M21" s="4">
        <v>4</v>
      </c>
      <c r="N21" s="4">
        <f t="shared" si="2"/>
        <v>8</v>
      </c>
      <c r="O21" s="4" t="str">
        <f t="shared" si="3"/>
        <v>Medium</v>
      </c>
      <c r="P21" s="4" t="s">
        <v>216</v>
      </c>
      <c r="Q21" s="4" t="s">
        <v>172</v>
      </c>
      <c r="R21" s="4" t="s">
        <v>217</v>
      </c>
      <c r="S21" s="4" t="s">
        <v>218</v>
      </c>
      <c r="T21" s="4" t="s">
        <v>219</v>
      </c>
    </row>
    <row r="22" spans="1:20" x14ac:dyDescent="0.25">
      <c r="A22" s="4"/>
      <c r="B22" s="4"/>
      <c r="C22" s="4"/>
      <c r="D22" s="4"/>
      <c r="E22" s="4"/>
      <c r="F22" s="4"/>
      <c r="G22" s="4"/>
      <c r="H22" s="4"/>
      <c r="I22" s="4"/>
      <c r="J22" s="4"/>
      <c r="K22" s="4"/>
      <c r="L22" s="4"/>
      <c r="M22" s="4"/>
      <c r="N22" s="4"/>
      <c r="O22" s="4"/>
      <c r="P22" s="4"/>
      <c r="Q22" s="4"/>
      <c r="R22" s="4"/>
      <c r="S22" s="4"/>
      <c r="T22" s="4"/>
    </row>
    <row r="23" spans="1:20" x14ac:dyDescent="0.25">
      <c r="A23" s="4"/>
      <c r="B23" s="4"/>
      <c r="C23" s="4"/>
      <c r="D23" s="4"/>
      <c r="E23" s="4"/>
      <c r="F23" s="4"/>
      <c r="G23" s="4"/>
      <c r="H23" s="4"/>
      <c r="I23" s="4"/>
      <c r="J23" s="4"/>
      <c r="K23" s="4"/>
      <c r="L23" s="4"/>
      <c r="M23" s="4"/>
      <c r="N23" s="4"/>
      <c r="O23" s="4"/>
      <c r="P23" s="4"/>
      <c r="Q23" s="4"/>
      <c r="R23" s="4"/>
      <c r="S23" s="4"/>
      <c r="T23" s="4"/>
    </row>
    <row r="24" spans="1:20" x14ac:dyDescent="0.25">
      <c r="A24" s="4"/>
      <c r="B24" s="4"/>
      <c r="C24" s="4"/>
      <c r="D24" s="4"/>
      <c r="E24" s="4"/>
      <c r="F24" s="4"/>
      <c r="G24" s="4"/>
      <c r="H24" s="4"/>
      <c r="I24" s="4"/>
      <c r="J24" s="4"/>
      <c r="K24" s="4"/>
      <c r="L24" s="4"/>
      <c r="M24" s="4"/>
      <c r="N24" s="4"/>
      <c r="O24" s="4"/>
      <c r="P24" s="4"/>
      <c r="Q24" s="4"/>
      <c r="R24" s="4"/>
      <c r="S24" s="4"/>
      <c r="T24" s="4"/>
    </row>
    <row r="25" spans="1:20" x14ac:dyDescent="0.25">
      <c r="A25" s="4"/>
      <c r="B25" s="4"/>
      <c r="C25" s="4"/>
      <c r="D25" s="4"/>
      <c r="E25" s="4"/>
      <c r="F25" s="4"/>
      <c r="G25" s="4"/>
      <c r="H25" s="4"/>
      <c r="I25" s="4"/>
      <c r="J25" s="4"/>
      <c r="K25" s="4"/>
      <c r="L25" s="4"/>
      <c r="M25" s="4"/>
      <c r="N25" s="4"/>
      <c r="O25" s="4"/>
      <c r="P25" s="4"/>
      <c r="Q25" s="4"/>
      <c r="R25" s="4"/>
      <c r="S25" s="4"/>
      <c r="T25" s="4"/>
    </row>
    <row r="26" spans="1:20" x14ac:dyDescent="0.25">
      <c r="A26" s="4"/>
      <c r="B26" s="4"/>
      <c r="C26" s="4"/>
      <c r="D26" s="4"/>
      <c r="E26" s="4"/>
      <c r="F26" s="4"/>
      <c r="G26" s="4"/>
      <c r="H26" s="4"/>
      <c r="I26" s="4"/>
      <c r="J26" s="4"/>
      <c r="K26" s="4"/>
      <c r="L26" s="4"/>
      <c r="M26" s="4"/>
      <c r="N26" s="4"/>
      <c r="O26" s="4"/>
      <c r="P26" s="4"/>
      <c r="Q26" s="4"/>
      <c r="R26" s="4"/>
      <c r="S26" s="4"/>
      <c r="T26" s="4"/>
    </row>
    <row r="27" spans="1:20" x14ac:dyDescent="0.25">
      <c r="A27" s="4"/>
      <c r="B27" s="4"/>
      <c r="C27" s="4"/>
      <c r="D27" s="4"/>
      <c r="E27" s="4"/>
      <c r="F27" s="4"/>
      <c r="G27" s="4"/>
      <c r="H27" s="4"/>
      <c r="I27" s="4"/>
      <c r="J27" s="4"/>
      <c r="K27" s="4"/>
      <c r="L27" s="4"/>
      <c r="M27" s="4"/>
      <c r="N27" s="4"/>
      <c r="O27" s="4"/>
      <c r="P27" s="4"/>
      <c r="Q27" s="4"/>
      <c r="R27" s="4"/>
      <c r="S27" s="4"/>
      <c r="T27" s="4"/>
    </row>
    <row r="28" spans="1:20" x14ac:dyDescent="0.25">
      <c r="A28" s="4"/>
      <c r="B28" s="4"/>
      <c r="C28" s="4"/>
      <c r="D28" s="4"/>
      <c r="E28" s="4"/>
      <c r="F28" s="4"/>
      <c r="G28" s="4"/>
      <c r="H28" s="4"/>
      <c r="I28" s="4"/>
      <c r="J28" s="4"/>
      <c r="K28" s="4"/>
      <c r="L28" s="4"/>
      <c r="M28" s="4"/>
      <c r="N28" s="4"/>
      <c r="O28" s="4"/>
      <c r="P28" s="4"/>
      <c r="Q28" s="4"/>
      <c r="R28" s="4"/>
      <c r="S28" s="4"/>
      <c r="T28" s="4"/>
    </row>
    <row r="29" spans="1:20" x14ac:dyDescent="0.25">
      <c r="A29" s="4"/>
      <c r="B29" s="4"/>
      <c r="C29" s="4"/>
      <c r="D29" s="4"/>
      <c r="E29" s="4"/>
      <c r="F29" s="4"/>
      <c r="G29" s="4"/>
      <c r="H29" s="4"/>
      <c r="I29" s="4"/>
      <c r="J29" s="4"/>
      <c r="K29" s="4"/>
      <c r="L29" s="4"/>
      <c r="M29" s="4"/>
      <c r="N29" s="4"/>
      <c r="O29" s="4"/>
      <c r="P29" s="4"/>
      <c r="Q29" s="4"/>
      <c r="R29" s="4"/>
      <c r="S29" s="4"/>
      <c r="T29" s="4"/>
    </row>
    <row r="30" spans="1:20" x14ac:dyDescent="0.25">
      <c r="A30" s="4"/>
      <c r="B30" s="4"/>
      <c r="C30" s="4"/>
      <c r="D30" s="4"/>
      <c r="E30" s="4"/>
      <c r="F30" s="4"/>
      <c r="G30" s="4"/>
      <c r="H30" s="4"/>
      <c r="I30" s="4"/>
      <c r="J30" s="4"/>
      <c r="K30" s="4"/>
      <c r="L30" s="4"/>
      <c r="M30" s="4"/>
      <c r="N30" s="4"/>
      <c r="O30" s="4"/>
      <c r="P30" s="4"/>
      <c r="Q30" s="4"/>
      <c r="R30" s="4"/>
      <c r="S30" s="4"/>
      <c r="T30" s="4"/>
    </row>
    <row r="31" spans="1:20" x14ac:dyDescent="0.25">
      <c r="A31" s="4"/>
      <c r="B31" s="4"/>
      <c r="C31" s="4"/>
      <c r="D31" s="4"/>
      <c r="E31" s="4"/>
      <c r="F31" s="4"/>
      <c r="G31" s="4"/>
      <c r="H31" s="4"/>
      <c r="I31" s="4"/>
      <c r="J31" s="4"/>
      <c r="K31" s="4"/>
      <c r="L31" s="4"/>
      <c r="M31" s="4"/>
      <c r="N31" s="4"/>
      <c r="O31" s="4"/>
      <c r="P31" s="4"/>
      <c r="Q31" s="4"/>
      <c r="R31" s="4"/>
      <c r="S31" s="4"/>
      <c r="T31" s="4"/>
    </row>
    <row r="32" spans="1:20" x14ac:dyDescent="0.25">
      <c r="A32" s="4"/>
      <c r="B32" s="4"/>
      <c r="C32" s="4"/>
      <c r="D32" s="4"/>
      <c r="E32" s="4"/>
      <c r="F32" s="4"/>
      <c r="G32" s="4"/>
      <c r="H32" s="4"/>
      <c r="I32" s="4"/>
      <c r="J32" s="4"/>
      <c r="K32" s="4"/>
      <c r="L32" s="4"/>
      <c r="M32" s="4"/>
      <c r="N32" s="4"/>
      <c r="O32" s="4"/>
      <c r="P32" s="4"/>
      <c r="Q32" s="4"/>
      <c r="R32" s="4"/>
      <c r="S32" s="4"/>
      <c r="T32" s="4"/>
    </row>
    <row r="33" spans="1:20" x14ac:dyDescent="0.25">
      <c r="A33" s="4"/>
      <c r="B33" s="4"/>
      <c r="C33" s="4"/>
      <c r="D33" s="4"/>
      <c r="E33" s="4"/>
      <c r="F33" s="4"/>
      <c r="G33" s="4"/>
      <c r="H33" s="4"/>
      <c r="I33" s="4"/>
      <c r="J33" s="4"/>
      <c r="K33" s="4"/>
      <c r="L33" s="4"/>
      <c r="M33" s="4"/>
      <c r="N33" s="4"/>
      <c r="O33" s="4"/>
      <c r="P33" s="4"/>
      <c r="Q33" s="4"/>
      <c r="R33" s="4"/>
      <c r="S33" s="4"/>
      <c r="T33" s="4"/>
    </row>
    <row r="34" spans="1:20" x14ac:dyDescent="0.25">
      <c r="A34" s="4"/>
      <c r="B34" s="4"/>
      <c r="C34" s="4"/>
      <c r="D34" s="4"/>
      <c r="E34" s="4"/>
      <c r="F34" s="4"/>
      <c r="G34" s="4"/>
      <c r="H34" s="4"/>
      <c r="I34" s="4"/>
      <c r="J34" s="4"/>
      <c r="K34" s="4"/>
      <c r="L34" s="4"/>
      <c r="M34" s="4"/>
      <c r="N34" s="4"/>
      <c r="O34" s="4"/>
      <c r="P34" s="4"/>
      <c r="Q34" s="4"/>
      <c r="R34" s="4"/>
      <c r="S34" s="4"/>
      <c r="T34" s="4"/>
    </row>
    <row r="35" spans="1:20" x14ac:dyDescent="0.25">
      <c r="A35" s="4"/>
      <c r="B35" s="4"/>
      <c r="C35" s="4"/>
      <c r="D35" s="4"/>
      <c r="E35" s="4"/>
      <c r="F35" s="4"/>
      <c r="G35" s="4"/>
      <c r="H35" s="4"/>
      <c r="I35" s="4"/>
      <c r="J35" s="4"/>
      <c r="K35" s="4"/>
      <c r="L35" s="4"/>
      <c r="M35" s="4"/>
      <c r="N35" s="4"/>
      <c r="O35" s="4"/>
      <c r="P35" s="4"/>
      <c r="Q35" s="4"/>
      <c r="R35" s="4"/>
      <c r="S35" s="4"/>
      <c r="T35" s="4"/>
    </row>
    <row r="36" spans="1:20" x14ac:dyDescent="0.25">
      <c r="A36" s="4"/>
      <c r="B36" s="4"/>
      <c r="C36" s="4"/>
      <c r="D36" s="4"/>
      <c r="E36" s="4"/>
      <c r="F36" s="4"/>
      <c r="G36" s="4"/>
      <c r="H36" s="4"/>
      <c r="I36" s="4"/>
      <c r="J36" s="4"/>
      <c r="K36" s="4"/>
      <c r="L36" s="4"/>
      <c r="M36" s="4"/>
      <c r="N36" s="4"/>
      <c r="O36" s="4"/>
      <c r="P36" s="4"/>
      <c r="Q36" s="4"/>
      <c r="R36" s="4"/>
      <c r="S36" s="4"/>
      <c r="T36" s="4"/>
    </row>
    <row r="37" spans="1:20" x14ac:dyDescent="0.25">
      <c r="A37" s="4"/>
      <c r="B37" s="4"/>
      <c r="C37" s="4"/>
      <c r="D37" s="4"/>
      <c r="E37" s="4"/>
      <c r="F37" s="4"/>
      <c r="G37" s="4"/>
      <c r="H37" s="4"/>
      <c r="I37" s="4"/>
      <c r="J37" s="4"/>
      <c r="K37" s="4"/>
      <c r="L37" s="4"/>
      <c r="M37" s="4"/>
      <c r="N37" s="4"/>
      <c r="O37" s="4"/>
      <c r="P37" s="4"/>
      <c r="Q37" s="4"/>
      <c r="R37" s="4"/>
      <c r="S37" s="4"/>
      <c r="T37" s="4"/>
    </row>
    <row r="38" spans="1:20" x14ac:dyDescent="0.25">
      <c r="A38" s="4"/>
      <c r="B38" s="4"/>
      <c r="C38" s="4"/>
      <c r="D38" s="4"/>
      <c r="E38" s="4"/>
      <c r="F38" s="4"/>
      <c r="G38" s="4"/>
      <c r="H38" s="4"/>
      <c r="I38" s="4"/>
      <c r="J38" s="4"/>
      <c r="K38" s="4"/>
      <c r="L38" s="4"/>
      <c r="M38" s="4"/>
      <c r="N38" s="4"/>
      <c r="O38" s="4"/>
      <c r="P38" s="4"/>
      <c r="Q38" s="4"/>
      <c r="R38" s="4"/>
      <c r="S38" s="4"/>
      <c r="T38" s="4"/>
    </row>
    <row r="39" spans="1:20" x14ac:dyDescent="0.25">
      <c r="A39" s="4"/>
      <c r="B39" s="4"/>
      <c r="C39" s="4"/>
      <c r="D39" s="4"/>
      <c r="E39" s="4"/>
      <c r="F39" s="4"/>
      <c r="G39" s="4"/>
      <c r="H39" s="4"/>
      <c r="I39" s="4"/>
      <c r="J39" s="4"/>
      <c r="K39" s="4"/>
      <c r="L39" s="4"/>
      <c r="M39" s="4"/>
      <c r="N39" s="4"/>
      <c r="O39" s="4"/>
      <c r="P39" s="4"/>
      <c r="Q39" s="4"/>
      <c r="R39" s="4"/>
      <c r="S39" s="4"/>
      <c r="T39" s="4"/>
    </row>
    <row r="40" spans="1:20" x14ac:dyDescent="0.25">
      <c r="A40" s="4"/>
      <c r="B40" s="4"/>
      <c r="C40" s="4"/>
      <c r="D40" s="4"/>
      <c r="E40" s="4"/>
      <c r="F40" s="4"/>
      <c r="G40" s="4"/>
      <c r="H40" s="4"/>
      <c r="I40" s="4"/>
      <c r="J40" s="4"/>
      <c r="K40" s="4"/>
      <c r="L40" s="4"/>
      <c r="M40" s="4"/>
      <c r="N40" s="4"/>
      <c r="O40" s="4"/>
      <c r="P40" s="4"/>
      <c r="Q40" s="4"/>
      <c r="R40" s="4"/>
      <c r="S40" s="4"/>
      <c r="T40" s="4"/>
    </row>
    <row r="41" spans="1:20" x14ac:dyDescent="0.25">
      <c r="A41" s="4"/>
      <c r="B41" s="4"/>
      <c r="C41" s="4"/>
      <c r="D41" s="4"/>
      <c r="E41" s="4"/>
      <c r="F41" s="4"/>
      <c r="G41" s="4"/>
      <c r="H41" s="4"/>
      <c r="I41" s="4"/>
      <c r="J41" s="4"/>
      <c r="K41" s="4"/>
      <c r="L41" s="4"/>
      <c r="M41" s="4"/>
      <c r="N41" s="4"/>
      <c r="O41" s="4"/>
      <c r="P41" s="4"/>
      <c r="Q41" s="4"/>
      <c r="R41" s="4"/>
      <c r="S41" s="4"/>
      <c r="T41" s="4"/>
    </row>
    <row r="42" spans="1:20" x14ac:dyDescent="0.25">
      <c r="A42" s="4"/>
      <c r="B42" s="4"/>
      <c r="C42" s="4"/>
      <c r="D42" s="4"/>
      <c r="E42" s="4"/>
      <c r="F42" s="4"/>
      <c r="G42" s="4"/>
      <c r="H42" s="4"/>
      <c r="I42" s="4"/>
      <c r="J42" s="4"/>
      <c r="K42" s="4"/>
      <c r="L42" s="4"/>
      <c r="M42" s="4"/>
      <c r="N42" s="4"/>
      <c r="O42" s="4"/>
      <c r="P42" s="4"/>
      <c r="Q42" s="4"/>
      <c r="R42" s="4"/>
      <c r="S42" s="4"/>
      <c r="T42" s="4"/>
    </row>
    <row r="43" spans="1:20" x14ac:dyDescent="0.25">
      <c r="A43" s="4"/>
      <c r="B43" s="4"/>
      <c r="C43" s="4"/>
      <c r="D43" s="4"/>
      <c r="E43" s="4"/>
      <c r="F43" s="4"/>
      <c r="G43" s="4"/>
      <c r="H43" s="4"/>
      <c r="I43" s="4"/>
      <c r="J43" s="4"/>
      <c r="K43" s="4"/>
      <c r="L43" s="4"/>
      <c r="M43" s="4"/>
      <c r="N43" s="4"/>
      <c r="O43" s="4"/>
      <c r="P43" s="4"/>
      <c r="Q43" s="4"/>
      <c r="R43" s="4"/>
      <c r="S43" s="4"/>
      <c r="T43" s="4"/>
    </row>
    <row r="44" spans="1:20" x14ac:dyDescent="0.25">
      <c r="A44" s="4"/>
      <c r="B44" s="4"/>
      <c r="C44" s="4"/>
      <c r="D44" s="4"/>
      <c r="E44" s="4"/>
      <c r="F44" s="4"/>
      <c r="G44" s="4"/>
      <c r="H44" s="4"/>
      <c r="I44" s="4"/>
      <c r="J44" s="4"/>
      <c r="K44" s="4"/>
      <c r="L44" s="4"/>
      <c r="M44" s="4"/>
      <c r="N44" s="4"/>
      <c r="O44" s="4"/>
      <c r="P44" s="4"/>
      <c r="Q44" s="4"/>
      <c r="R44" s="4"/>
      <c r="S44" s="4"/>
      <c r="T44" s="4"/>
    </row>
    <row r="45" spans="1:20" x14ac:dyDescent="0.25">
      <c r="A45" s="4"/>
      <c r="B45" s="4"/>
      <c r="C45" s="4"/>
      <c r="D45" s="4"/>
      <c r="E45" s="4"/>
      <c r="F45" s="4"/>
      <c r="G45" s="4"/>
      <c r="H45" s="4"/>
      <c r="I45" s="4"/>
      <c r="J45" s="4"/>
      <c r="K45" s="4"/>
      <c r="L45" s="4"/>
      <c r="M45" s="4"/>
      <c r="N45" s="4"/>
      <c r="O45" s="4"/>
      <c r="P45" s="4"/>
      <c r="Q45" s="4"/>
      <c r="R45" s="4"/>
      <c r="S45" s="4"/>
      <c r="T45" s="4"/>
    </row>
    <row r="46" spans="1:20" x14ac:dyDescent="0.25">
      <c r="A46" s="4"/>
      <c r="B46" s="4"/>
      <c r="C46" s="4"/>
      <c r="D46" s="4"/>
      <c r="E46" s="4"/>
      <c r="F46" s="4"/>
      <c r="G46" s="4"/>
      <c r="H46" s="4"/>
      <c r="I46" s="4"/>
      <c r="J46" s="4"/>
      <c r="K46" s="4"/>
      <c r="L46" s="4"/>
      <c r="M46" s="4"/>
      <c r="N46" s="4"/>
      <c r="O46" s="4"/>
      <c r="P46" s="4"/>
      <c r="Q46" s="4"/>
      <c r="R46" s="4"/>
      <c r="S46" s="4"/>
      <c r="T46" s="4"/>
    </row>
    <row r="47" spans="1:20" x14ac:dyDescent="0.25">
      <c r="A47" s="4"/>
      <c r="B47" s="4"/>
      <c r="C47" s="4"/>
      <c r="D47" s="4"/>
      <c r="E47" s="4"/>
      <c r="F47" s="4"/>
      <c r="G47" s="4"/>
      <c r="H47" s="4"/>
      <c r="I47" s="4"/>
      <c r="J47" s="4"/>
      <c r="K47" s="4"/>
      <c r="L47" s="4"/>
      <c r="M47" s="4"/>
      <c r="N47" s="4"/>
      <c r="O47" s="4"/>
      <c r="P47" s="4"/>
      <c r="Q47" s="4"/>
      <c r="R47" s="4"/>
      <c r="S47" s="4"/>
      <c r="T47" s="4"/>
    </row>
    <row r="48" spans="1:20" x14ac:dyDescent="0.25">
      <c r="A48" s="4"/>
      <c r="B48" s="4"/>
      <c r="C48" s="4"/>
      <c r="D48" s="4"/>
      <c r="E48" s="4"/>
      <c r="F48" s="4"/>
      <c r="G48" s="4"/>
      <c r="H48" s="4"/>
      <c r="I48" s="4"/>
      <c r="J48" s="4"/>
      <c r="K48" s="4"/>
      <c r="L48" s="4"/>
      <c r="M48" s="4"/>
      <c r="N48" s="4"/>
      <c r="O48" s="4"/>
      <c r="P48" s="4"/>
      <c r="Q48" s="4"/>
      <c r="R48" s="4"/>
      <c r="S48" s="4"/>
      <c r="T48" s="4"/>
    </row>
    <row r="49" spans="1:20" x14ac:dyDescent="0.25">
      <c r="A49" s="4"/>
      <c r="B49" s="4"/>
      <c r="C49" s="4"/>
      <c r="D49" s="4"/>
      <c r="E49" s="4"/>
      <c r="F49" s="4"/>
      <c r="G49" s="4"/>
      <c r="H49" s="4"/>
      <c r="I49" s="4"/>
      <c r="J49" s="4"/>
      <c r="K49" s="4"/>
      <c r="L49" s="4"/>
      <c r="M49" s="4"/>
      <c r="N49" s="4"/>
      <c r="O49" s="4"/>
      <c r="P49" s="4"/>
      <c r="Q49" s="4"/>
      <c r="R49" s="4"/>
      <c r="S49" s="4"/>
      <c r="T49" s="4"/>
    </row>
    <row r="50" spans="1:20" x14ac:dyDescent="0.25">
      <c r="A50" s="4"/>
      <c r="B50" s="4"/>
      <c r="C50" s="4"/>
      <c r="D50" s="4"/>
      <c r="E50" s="4"/>
      <c r="F50" s="4"/>
      <c r="G50" s="4"/>
      <c r="H50" s="4"/>
      <c r="I50" s="4"/>
      <c r="J50" s="4"/>
      <c r="K50" s="4"/>
      <c r="L50" s="4"/>
      <c r="M50" s="4"/>
      <c r="N50" s="4"/>
      <c r="O50" s="4"/>
      <c r="P50" s="4"/>
      <c r="Q50" s="4"/>
      <c r="R50" s="4"/>
      <c r="S50" s="4"/>
      <c r="T50" s="4"/>
    </row>
  </sheetData>
  <dataValidations count="1">
    <dataValidation type="list" sqref="L2:M21 G2:H21" xr:uid="{00000000-0002-0000-0000-000000000000}">
      <formula1>"1,2,3,4,5"</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Risk-Register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Palugaswewa K.I.K.I.B IT24201195</cp:lastModifiedBy>
  <dcterms:modified xsi:type="dcterms:W3CDTF">2026-08-19T04:30:59Z</dcterms:modified>
</cp:coreProperties>
</file>