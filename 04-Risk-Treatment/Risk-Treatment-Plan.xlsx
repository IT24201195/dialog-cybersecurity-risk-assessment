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9c7afe0f94e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Treatment Plan" sheetId="1" r:id="Rcf0daafd288a4099"/>
    <x:sheet xmlns:r="http://schemas.openxmlformats.org/officeDocument/2006/relationships" name="Summary" sheetId="2" r:id="Ref78468a8ece49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</x:cellXfs>
  <x:cellStyles count="1">
    <x:cellStyle name="Normal" xfId="0"/>
  </x:cellStyles>
  <x:dxfs count="4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686f403d53468f" /><Relationship Type="http://schemas.openxmlformats.org/officeDocument/2006/relationships/theme" Target="/xl/theme/theme1.xml" Id="Rfdc9baff8846411a" /><Relationship Type="http://schemas.openxmlformats.org/officeDocument/2006/relationships/sharedStrings" Target="/xl/sharedStrings.xml" Id="Rd02f39b2e33049f1" /><Relationship Type="http://schemas.openxmlformats.org/officeDocument/2006/relationships/worksheet" Target="/xl/worksheets/sheet1.xml" Id="Rcf0daafd288a4099" /><Relationship Type="http://schemas.openxmlformats.org/officeDocument/2006/relationships/worksheet" Target="/xl/worksheets/sheet2.xml" Id="Ref78468a8ece49f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f97e647c3e9464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Treatments by Priority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'Summary'!$A$3:$A$6</c:f>
              <c:strCache>
                <c:ptCount val="0"/>
              </c:strCache>
            </c:strRef>
          </c:cat>
          <c:val>
            <c:numRef>
              <c:f>'Summary'!$B$3:$B$6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97e647c3e9464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iskTreatmentPlan" displayName="RiskTreatmentPlan" ref="A1:Q21" headerRowCount="1" totalsRowCount="0" totalsRowShown="0">
  <x:tableColumns count="17">
    <x:tableColumn id="1" name="Treatment ID"/>
    <x:tableColumn id="2" name="Risk ID"/>
    <x:tableColumn id="3" name="Risk"/>
    <x:tableColumn id="4" name="Current Residual Rating"/>
    <x:tableColumn id="5" name="Related Gap IDs"/>
    <x:tableColumn id="6" name="Treatment Decision"/>
    <x:tableColumn id="7" name="Proposed Treatment"/>
    <x:tableColumn id="8" name="Treatment Type"/>
    <x:tableColumn id="9" name="Priority"/>
    <x:tableColumn id="10" name="Proposed Owner"/>
    <x:tableColumn id="11" name="Target Timeframe"/>
    <x:tableColumn id="12" name="Expected Likelihood"/>
    <x:tableColumn id="13" name="Expected Impact"/>
    <x:tableColumn id="14" name="Expected Risk Score"/>
    <x:tableColumn id="15" name="Expected Risk Rating"/>
    <x:tableColumn id="16" name="Success Measure / KPI"/>
    <x:tableColumn id="17" name="Treatment Rationa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3ddaa04f6949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b0bea9e96ec423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0" hidden="0" customWidth="1"/>
    <x:col min="4" max="4" width="18" hidden="0" customWidth="1"/>
    <x:col min="5" max="5" width="25" hidden="0" customWidth="1"/>
    <x:col min="6" max="6" width="18" hidden="0" customWidth="1"/>
    <x:col min="7" max="7" width="48" hidden="0" customWidth="1"/>
    <x:col min="8" max="8" width="24" hidden="0" customWidth="1"/>
    <x:col min="9" max="9" width="12" hidden="0" customWidth="1"/>
    <x:col min="10" max="10" width="34" hidden="0" customWidth="1"/>
    <x:col min="11" max="11" width="16" hidden="0" customWidth="1"/>
    <x:col min="12" max="12" width="18" hidden="0" customWidth="1"/>
    <x:col min="13" max="13" width="16" hidden="0" customWidth="1"/>
    <x:col min="14" max="14" width="18" hidden="0" customWidth="1"/>
    <x:col min="15" max="15" width="18" hidden="0" customWidth="1"/>
    <x:col min="16" max="16" width="48" hidden="0" customWidth="1"/>
    <x:col min="17" max="17" width="48" hidden="0" customWidth="1"/>
  </x:cols>
  <x:sheetData>
    <x:row r="1">
      <x:c r="A1" s="14" t="str">
        <x:v>Treatment ID</x:v>
      </x:c>
      <x:c r="B1" s="14" t="str">
        <x:v>Risk ID</x:v>
      </x:c>
      <x:c r="C1" s="14" t="str">
        <x:v>Risk</x:v>
      </x:c>
      <x:c r="D1" s="14" t="str">
        <x:v>Current Residual Rating</x:v>
      </x:c>
      <x:c r="E1" s="14" t="str">
        <x:v>Related Gap IDs</x:v>
      </x:c>
      <x:c r="F1" s="14" t="str">
        <x:v>Treatment Decision</x:v>
      </x:c>
      <x:c r="G1" s="14" t="str">
        <x:v>Proposed Treatment</x:v>
      </x:c>
      <x:c r="H1" s="14" t="str">
        <x:v>Treatment Type</x:v>
      </x:c>
      <x:c r="I1" s="14" t="str">
        <x:v>Priority</x:v>
      </x:c>
      <x:c r="J1" s="14" t="str">
        <x:v>Proposed Owner</x:v>
      </x:c>
      <x:c r="K1" s="14" t="str">
        <x:v>Target Timeframe</x:v>
      </x:c>
      <x:c r="L1" s="14" t="str">
        <x:v>Expected Likelihood</x:v>
      </x:c>
      <x:c r="M1" s="14" t="str">
        <x:v>Expected Impact</x:v>
      </x:c>
      <x:c r="N1" s="14" t="str">
        <x:v>Expected Risk Score</x:v>
      </x:c>
      <x:c r="O1" s="14" t="str">
        <x:v>Expected Risk Rating</x:v>
      </x:c>
      <x:c r="P1" s="14" t="str">
        <x:v>Success Measure / KPI</x:v>
      </x:c>
      <x:c r="Q1" s="14" t="str">
        <x:v>Treatment Rationale</x:v>
      </x:c>
    </x:row>
    <x:row r="2">
      <x:c r="A2" s="15" t="str">
        <x:v>T001</x:v>
      </x:c>
      <x:c r="B2" s="15" t="str">
        <x:v>R001</x:v>
      </x:c>
      <x:c r="C2" s="15" t="str">
        <x:v>Customer Data Breach</x:v>
      </x:c>
      <x:c r="D2" s="15" t="str">
        <x:v>High</x:v>
      </x:c>
      <x:c r="E2" s="15" t="str">
        <x:v>GAP-001, GAP-004, GAP-006, GAP-010</x:v>
      </x:c>
      <x:c r="F2" s="15" t="str">
        <x:v>Mitigate</x:v>
      </x:c>
      <x:c r="G2" s="15" t="str">
        <x:v>Strengthen identity governance, privileged-access reviews, cryptographic governance, centralized monitoring, and measurable control-effectiveness testing for systems processing customer personal information.</x:v>
      </x:c>
      <x:c r="H2" s="15" t="str">
        <x:v>Preventive / Detective</x:v>
      </x:c>
      <x:c r="I2" s="15" t="str">
        <x:v>High</x:v>
      </x:c>
      <x:c r="J2" s="15" t="str">
        <x:v>Information Security / Data Protection</x:v>
      </x:c>
      <x:c r="K2" s="15" t="str">
        <x:v>3-6 months</x:v>
      </x:c>
      <x:c r="L2" s="15" t="n">
        <x:v>1</x:v>
      </x:c>
      <x:c r="M2" s="15" t="n">
        <x:v>5</x:v>
      </x:c>
      <x:c r="N2" s="15" t="n">
        <x:f>L2*M2</x:f>
        <x:v>5</x:v>
      </x:c>
      <x:c r="O2" s="15" t="str">
        <x:f>IF(N2&lt;=4,"Low",IF(N2&lt;=9,"Medium",IF(N2&lt;=16,"High","Critical")))</x:f>
        <x:v>Medium</x:v>
      </x:c>
      <x:c r="P2" s="15" t="str">
        <x:v>100% scheduled privileged-access reviews completed; high-risk access protected by strong authentication; defined encryption and key-management standards; critical security events centrally logged.</x:v>
      </x:c>
      <x:c r="Q2" s="15" t="str">
        <x:v>Customer information has severe confidentiality and regulatory impact. Additional identity, cryptographic, monitoring, and assurance controls reduce the likelihood of unauthorized disclosure.</x:v>
      </x:c>
    </x:row>
    <x:row r="3">
      <x:c r="A3" s="15" t="str">
        <x:v>T002</x:v>
      </x:c>
      <x:c r="B3" s="15" t="str">
        <x:v>R002</x:v>
      </x:c>
      <x:c r="C3" s="15" t="str">
        <x:v>Credential Compromise</x:v>
      </x:c>
      <x:c r="D3" s="15" t="str">
        <x:v>High</x:v>
      </x:c>
      <x:c r="E3" s="15" t="str">
        <x:v>GAP-001, GAP-006, GAP-010</x:v>
      </x:c>
      <x:c r="F3" s="15" t="str">
        <x:v>Mitigate</x:v>
      </x:c>
      <x:c r="G3" s="15" t="str">
        <x:v>Strengthen customer authentication with risk-based MFA where appropriate, credential-stuffing protection, rate limiting, secure recovery, session controls, and authentication-event monitoring.</x:v>
      </x:c>
      <x:c r="H3" s="15" t="str">
        <x:v>Preventive / Detective</x:v>
      </x:c>
      <x:c r="I3" s="15" t="str">
        <x:v>High</x:v>
      </x:c>
      <x:c r="J3" s="15" t="str">
        <x:v>Digital Operations / Identity &amp; Access Management</x:v>
      </x:c>
      <x:c r="K3" s="15" t="str">
        <x:v>3-6 months</x:v>
      </x:c>
      <x:c r="L3" s="15" t="n">
        <x:v>1</x:v>
      </x:c>
      <x:c r="M3" s="15" t="n">
        <x:v>5</x:v>
      </x:c>
      <x:c r="N3" s="15" t="n">
        <x:f>L3*M3</x:f>
        <x:v>5</x:v>
      </x:c>
      <x:c r="O3" s="15" t="str">
        <x:f>IF(N3&lt;=4,"Low",IF(N3&lt;=9,"Medium",IF(N3&lt;=16,"High","Critical")))</x:f>
        <x:v>Medium</x:v>
      </x:c>
      <x:c r="P3" s="15" t="str">
        <x:v>High-risk authentication protected by strong authentication; automated credential attacks rate-limited or blocked; authentication anomalies centrally monitored; recovery controls periodically tested.</x:v>
      </x:c>
      <x:c r="Q3" s="15" t="str">
        <x:v>Credential compromise remains plausible despite access controls. Stronger authentication and monitoring directly reduce account-takeover likelihood.</x:v>
      </x:c>
    </x:row>
    <x:row r="4">
      <x:c r="A4" s="15" t="str">
        <x:v>T003</x:v>
      </x:c>
      <x:c r="B4" s="15" t="str">
        <x:v>R003</x:v>
      </x:c>
      <x:c r="C4" s="15" t="str">
        <x:v>Payment Fraud / Compromise</x:v>
      </x:c>
      <x:c r="D4" s="15" t="str">
        <x:v>High</x:v>
      </x:c>
      <x:c r="E4" s="15" t="str">
        <x:v>GAP-004, GAP-010</x:v>
      </x:c>
      <x:c r="F4" s="15" t="str">
        <x:v>Mitigate</x:v>
      </x:c>
      <x:c r="G4" s="15" t="str">
        <x:v>Strengthen transaction monitoring, cryptographic governance, payment access controls, fraud-detection rules, transaction limits, and periodic security testing of payment-related services.</x:v>
      </x:c>
      <x:c r="H4" s="15" t="str">
        <x:v>Preventive / Detective</x:v>
      </x:c>
      <x:c r="I4" s="15" t="str">
        <x:v>High</x:v>
      </x:c>
      <x:c r="J4" s="15" t="str">
        <x:v>Finance / Digital Payments</x:v>
      </x:c>
      <x:c r="K4" s="15" t="str">
        <x:v>3-6 months</x:v>
      </x:c>
      <x:c r="L4" s="15" t="n">
        <x:v>1</x:v>
      </x:c>
      <x:c r="M4" s="15" t="n">
        <x:v>5</x:v>
      </x:c>
      <x:c r="N4" s="15" t="n">
        <x:f>L4*M4</x:f>
        <x:v>5</x:v>
      </x:c>
      <x:c r="O4" s="15" t="str">
        <x:f>IF(N4&lt;=4,"Low",IF(N4&lt;=9,"Medium",IF(N4&lt;=16,"High","Critical")))</x:f>
        <x:v>Medium</x:v>
      </x:c>
      <x:c r="P4" s="15" t="str">
        <x:v>High-risk transactions monitored; payment security testing completed to schedule; cryptographic standards documented; fraud alerts reviewed within defined service levels.</x:v>
      </x:c>
      <x:c r="Q4" s="15" t="str">
        <x:v>Payment compromise carries severe financial and trust impact. Treatment focuses on preventing unauthorized transactions and improving detection.</x:v>
      </x:c>
    </x:row>
    <x:row r="5">
      <x:c r="A5" s="15" t="str">
        <x:v>T004</x:v>
      </x:c>
      <x:c r="B5" s="15" t="str">
        <x:v>R004</x:v>
      </x:c>
      <x:c r="C5" s="15" t="str">
        <x:v>DDoS / Service Disruption</x:v>
      </x:c>
      <x:c r="D5" s="15" t="str">
        <x:v>High</x:v>
      </x:c>
      <x:c r="E5" s="15" t="str">
        <x:v>GAP-006, GAP-008, GAP-009, GAP-010</x:v>
      </x:c>
      <x:c r="F5" s="15" t="str">
        <x:v>Mitigate</x:v>
      </x:c>
      <x:c r="G5" s="15" t="str">
        <x:v>Strengthen DDoS protection, traffic filtering, network redundancy, capacity monitoring, incident playbooks, resilience testing, and recovery exercises for critical services.</x:v>
      </x:c>
      <x:c r="H5" s="15" t="str">
        <x:v>Preventive / Detective / Corrective</x:v>
      </x:c>
      <x:c r="I5" s="15" t="str">
        <x:v>High</x:v>
      </x:c>
      <x:c r="J5" s="15" t="str">
        <x:v>Network Operations</x:v>
      </x:c>
      <x:c r="K5" s="15" t="str">
        <x:v>3-6 months</x:v>
      </x:c>
      <x:c r="L5" s="15" t="n">
        <x:v>1</x:v>
      </x:c>
      <x:c r="M5" s="15" t="n">
        <x:v>5</x:v>
      </x:c>
      <x:c r="N5" s="15" t="n">
        <x:f>L5*M5</x:f>
        <x:v>5</x:v>
      </x:c>
      <x:c r="O5" s="15" t="str">
        <x:f>IF(N5&lt;=4,"Low",IF(N5&lt;=9,"Medium",IF(N5&lt;=16,"High","Critical")))</x:f>
        <x:v>Medium</x:v>
      </x:c>
      <x:c r="P5" s="15" t="str">
        <x:v>DDoS response playbook tested; critical services covered by resilience controls; recovery exercises completed; availability and detection metrics reported.</x:v>
      </x:c>
      <x:c r="Q5" s="15" t="str">
        <x:v>Telecommunications availability is business critical. Layered prevention, detection, redundancy, and recovery reduce disruption likelihood and duration.</x:v>
      </x:c>
    </x:row>
    <x:row r="6">
      <x:c r="A6" s="15" t="str">
        <x:v>T005</x:v>
      </x:c>
      <x:c r="B6" s="15" t="str">
        <x:v>R005</x:v>
      </x:c>
      <x:c r="C6" s="15" t="str">
        <x:v>Cloud Misconfiguration</x:v>
      </x:c>
      <x:c r="D6" s="15" t="str">
        <x:v>High</x:v>
      </x:c>
      <x:c r="E6" s="15" t="str">
        <x:v>GAP-002, GAP-010</x:v>
      </x:c>
      <x:c r="F6" s="15" t="str">
        <x:v>Mitigate</x:v>
      </x:c>
      <x:c r="G6" s="15" t="str">
        <x:v>Implement secure cloud baselines, least-privilege IAM, configuration compliance scanning, cloud security posture monitoring, change control, and periodic configuration review.</x:v>
      </x:c>
      <x:c r="H6" s="15" t="str">
        <x:v>Preventive / Detective</x:v>
      </x:c>
      <x:c r="I6" s="15" t="str">
        <x:v>High</x:v>
      </x:c>
      <x:c r="J6" s="15" t="str">
        <x:v>Technology Operations / Cloud Security</x:v>
      </x:c>
      <x:c r="K6" s="15" t="str">
        <x:v>3-6 months</x:v>
      </x:c>
      <x:c r="L6" s="15" t="n">
        <x:v>1</x:v>
      </x:c>
      <x:c r="M6" s="15" t="n">
        <x:v>5</x:v>
      </x:c>
      <x:c r="N6" s="15" t="n">
        <x:f>L6*M6</x:f>
        <x:v>5</x:v>
      </x:c>
      <x:c r="O6" s="15" t="str">
        <x:f>IF(N6&lt;=4,"Low",IF(N6&lt;=9,"Medium",IF(N6&lt;=16,"High","Critical")))</x:f>
        <x:v>Medium</x:v>
      </x:c>
      <x:c r="P6" s="15" t="str">
        <x:v>Critical cloud resources assessed against approved baselines; high-risk misconfigurations remediated within target SLA; privileged cloud access reviewed periodically.</x:v>
      </x:c>
      <x:c r="Q6" s="15" t="str">
        <x:v>Cloud configuration errors are preventable through standardized baselines and continuous assessment, making likelihood reduction the primary treatment objective.</x:v>
      </x:c>
    </x:row>
    <x:row r="7">
      <x:c r="A7" s="15" t="str">
        <x:v>T006</x:v>
      </x:c>
      <x:c r="B7" s="15" t="str">
        <x:v>R006</x:v>
      </x:c>
      <x:c r="C7" s="15" t="str">
        <x:v>Application Vulnerability</x:v>
      </x:c>
      <x:c r="D7" s="15" t="str">
        <x:v>High</x:v>
      </x:c>
      <x:c r="E7" s="15" t="str">
        <x:v>GAP-005, GAP-010</x:v>
      </x:c>
      <x:c r="F7" s="15" t="str">
        <x:v>Mitigate</x:v>
      </x:c>
      <x:c r="G7" s="15" t="str">
        <x:v>Implement a formal Secure SDLC with security requirements, threat modelling, secure coding standards, peer review, SAST, DAST, dependency scanning, penetration testing, and remediation tracking.</x:v>
      </x:c>
      <x:c r="H7" s="15" t="str">
        <x:v>Preventive / Detective</x:v>
      </x:c>
      <x:c r="I7" s="15" t="str">
        <x:v>Critical</x:v>
      </x:c>
      <x:c r="J7" s="15" t="str">
        <x:v>Application Security / Digital Operations</x:v>
      </x:c>
      <x:c r="K7" s="15" t="str">
        <x:v>0-3 months</x:v>
      </x:c>
      <x:c r="L7" s="15" t="n">
        <x:v>1</x:v>
      </x:c>
      <x:c r="M7" s="15" t="n">
        <x:v>5</x:v>
      </x:c>
      <x:c r="N7" s="15" t="n">
        <x:f>L7*M7</x:f>
        <x:v>5</x:v>
      </x:c>
      <x:c r="O7" s="15" t="str">
        <x:f>IF(N7&lt;=4,"Low",IF(N7&lt;=9,"Medium",IF(N7&lt;=16,"High","Critical")))</x:f>
        <x:v>Medium</x:v>
      </x:c>
      <x:c r="P7" s="15" t="str">
        <x:v>100% critical applications pass defined security gates before release; critical findings remediated within SLA; SAST, DAST, and dependency scanning integrated into the delivery lifecycle.</x:v>
      </x:c>
      <x:c r="Q7" s="15" t="str">
        <x:v>Application vulnerabilities affect customer-facing services and multiple OWASP risk categories. A Secure SDLC addresses weaknesses before production and provides repeatable assurance.</x:v>
      </x:c>
    </x:row>
    <x:row r="8">
      <x:c r="A8" s="15" t="str">
        <x:v>T007</x:v>
      </x:c>
      <x:c r="B8" s="15" t="str">
        <x:v>R007</x:v>
      </x:c>
      <x:c r="C8" s="15" t="str">
        <x:v>Phishing / Employee Account Compromise</x:v>
      </x:c>
      <x:c r="D8" s="15" t="str">
        <x:v>Medium</x:v>
      </x:c>
      <x:c r="E8" s="15" t="str">
        <x:v>GAP-001, GAP-006, GAP-010</x:v>
      </x:c>
      <x:c r="F8" s="15" t="str">
        <x:v>Mitigate</x:v>
      </x:c>
      <x:c r="G8" s="15" t="str">
        <x:v>Strengthen employee MFA, email filtering, phishing simulations, endpoint protection, privileged-access restrictions, and monitoring for suspicious sign-in and mailbox activity.</x:v>
      </x:c>
      <x:c r="H8" s="15" t="str">
        <x:v>Preventive / Detective</x:v>
      </x:c>
      <x:c r="I8" s="15" t="str">
        <x:v>Medium</x:v>
      </x:c>
      <x:c r="J8" s="15" t="str">
        <x:v>IT Security / Identity &amp; Access Management</x:v>
      </x:c>
      <x:c r="K8" s="15" t="str">
        <x:v>6-12 months</x:v>
      </x:c>
      <x:c r="L8" s="15" t="n">
        <x:v>1</x:v>
      </x:c>
      <x:c r="M8" s="15" t="n">
        <x:v>4</x:v>
      </x:c>
      <x:c r="N8" s="15" t="n">
        <x:f>L8*M8</x:f>
        <x:v>4</x:v>
      </x:c>
      <x:c r="O8" s="15" t="str">
        <x:f>IF(N8&lt;=4,"Low",IF(N8&lt;=9,"Medium",IF(N8&lt;=16,"High","Critical")))</x:f>
        <x:v>Low</x:v>
      </x:c>
      <x:c r="P8" s="15" t="str">
        <x:v>Phishing simulation failure rate trends downward; high-risk employee access protected by MFA; suspicious sign-ins investigated within defined SLA.</x:v>
      </x:c>
      <x:c r="Q8" s="15" t="str">
        <x:v>Existing awareness and monitoring reduce risk, but phishing remains a persistent human and identity threat. Additional layered controls further reduce likelihood.</x:v>
      </x:c>
    </x:row>
    <x:row r="9">
      <x:c r="A9" s="15" t="str">
        <x:v>T008</x:v>
      </x:c>
      <x:c r="B9" s="15" t="str">
        <x:v>R008</x:v>
      </x:c>
      <x:c r="C9" s="15" t="str">
        <x:v>Insider Threat</x:v>
      </x:c>
      <x:c r="D9" s="15" t="str">
        <x:v>High</x:v>
      </x:c>
      <x:c r="E9" s="15" t="str">
        <x:v>GAP-001, GAP-006, GAP-010</x:v>
      </x:c>
      <x:c r="F9" s="15" t="str">
        <x:v>Mitigate</x:v>
      </x:c>
      <x:c r="G9" s="15" t="str">
        <x:v>Strengthen least privilege, segregation of duties, privileged-access monitoring, periodic access certification, Joiner/Mover/Leaver controls, data-access logging, and targeted awareness.</x:v>
      </x:c>
      <x:c r="H9" s="15" t="str">
        <x:v>Preventive / Detective</x:v>
      </x:c>
      <x:c r="I9" s="15" t="str">
        <x:v>High</x:v>
      </x:c>
      <x:c r="J9" s="15" t="str">
        <x:v>Information Security / Human Resources</x:v>
      </x:c>
      <x:c r="K9" s="15" t="str">
        <x:v>3-6 months</x:v>
      </x:c>
      <x:c r="L9" s="15" t="n">
        <x:v>1</x:v>
      </x:c>
      <x:c r="M9" s="15" t="n">
        <x:v>5</x:v>
      </x:c>
      <x:c r="N9" s="15" t="n">
        <x:f>L9*M9</x:f>
        <x:v>5</x:v>
      </x:c>
      <x:c r="O9" s="15" t="str">
        <x:f>IF(N9&lt;=4,"Low",IF(N9&lt;=9,"Medium",IF(N9&lt;=16,"High","Critical")))</x:f>
        <x:v>Medium</x:v>
      </x:c>
      <x:c r="P9" s="15" t="str">
        <x:v>Access reviews completed on schedule; terminated-user access revoked within defined SLA; privileged activity logged and reviewed; segregation-of-duties exceptions tracked.</x:v>
      </x:c>
      <x:c r="Q9" s="15" t="str">
        <x:v>Insider risk cannot be eliminated because legitimate access is required. Governance, monitoring, and lifecycle controls reduce opportunity and improve detection.</x:v>
      </x:c>
    </x:row>
    <x:row r="10">
      <x:c r="A10" s="15" t="str">
        <x:v>T009</x:v>
      </x:c>
      <x:c r="B10" s="15" t="str">
        <x:v>R009</x:v>
      </x:c>
      <x:c r="C10" s="15" t="str">
        <x:v>Third-Party / Supply-Chain Compromise</x:v>
      </x:c>
      <x:c r="D10" s="15" t="str">
        <x:v>High</x:v>
      </x:c>
      <x:c r="E10" s="15" t="str">
        <x:v>GAP-003, GAP-007, GAP-010</x:v>
      </x:c>
      <x:c r="F10" s="15" t="str">
        <x:v>Mitigate / Transfer</x:v>
      </x:c>
      <x:c r="G10" s="15" t="str">
        <x:v>Formalize third-party risk classification, security due diligence, contractual security obligations, incident-notification requirements, periodic reassessment, critical-vendor monitoring, and software-supply-chain assurance.</x:v>
      </x:c>
      <x:c r="H10" s="15" t="str">
        <x:v>Preventive / Detective</x:v>
      </x:c>
      <x:c r="I10" s="15" t="str">
        <x:v>High</x:v>
      </x:c>
      <x:c r="J10" s="15" t="str">
        <x:v>Procurement / Vendor Risk Management</x:v>
      </x:c>
      <x:c r="K10" s="15" t="str">
        <x:v>3-6 months</x:v>
      </x:c>
      <x:c r="L10" s="15" t="n">
        <x:v>1</x:v>
      </x:c>
      <x:c r="M10" s="15" t="n">
        <x:v>5</x:v>
      </x:c>
      <x:c r="N10" s="15" t="n">
        <x:f>L10*M10</x:f>
        <x:v>5</x:v>
      </x:c>
      <x:c r="O10" s="15" t="str">
        <x:f>IF(N10&lt;=4,"Low",IF(N10&lt;=9,"Medium",IF(N10&lt;=16,"High","Critical")))</x:f>
        <x:v>Medium</x:v>
      </x:c>
      <x:c r="P10" s="15" t="str">
        <x:v>100% critical vendors risk-classified and assessed; security clauses included in critical contracts; reassessments completed to schedule; critical vendor incidents reported within contractual timelines.</x:v>
      </x:c>
      <x:c r="Q10" s="15" t="str">
        <x:v>Dialog depends on external providers. Risk should primarily be mitigated through assurance controls while contractual obligations transfer defined portions of financial and operational exposure.</x:v>
      </x:c>
    </x:row>
    <x:row r="11">
      <x:c r="A11" s="15" t="str">
        <x:v>T010</x:v>
      </x:c>
      <x:c r="B11" s="15" t="str">
        <x:v>R010</x:v>
      </x:c>
      <x:c r="C11" s="15" t="str">
        <x:v>Backup / Recovery Failure</x:v>
      </x:c>
      <x:c r="D11" s="15" t="str">
        <x:v>High</x:v>
      </x:c>
      <x:c r="E11" s="15" t="str">
        <x:v>GAP-008, GAP-010</x:v>
      </x:c>
      <x:c r="F11" s="15" t="str">
        <x:v>Mitigate</x:v>
      </x:c>
      <x:c r="G11" s="15" t="str">
        <x:v>Strengthen immutable or offline backup protection, backup monitoring, defined RTO and RPO targets, restoration testing, disaster-recovery exercises, and documented recovery procedures.</x:v>
      </x:c>
      <x:c r="H11" s="15" t="str">
        <x:v>Preventive / Corrective</x:v>
      </x:c>
      <x:c r="I11" s="15" t="str">
        <x:v>High</x:v>
      </x:c>
      <x:c r="J11" s="15" t="str">
        <x:v>IT Operations / Business Continuity</x:v>
      </x:c>
      <x:c r="K11" s="15" t="str">
        <x:v>3-6 months</x:v>
      </x:c>
      <x:c r="L11" s="15" t="n">
        <x:v>1</x:v>
      </x:c>
      <x:c r="M11" s="15" t="n">
        <x:v>5</x:v>
      </x:c>
      <x:c r="N11" s="15" t="n">
        <x:f>L11*M11</x:f>
        <x:v>5</x:v>
      </x:c>
      <x:c r="O11" s="15" t="str">
        <x:f>IF(N11&lt;=4,"Low",IF(N11&lt;=9,"Medium",IF(N11&lt;=16,"High","Critical")))</x:f>
        <x:v>Medium</x:v>
      </x:c>
      <x:c r="P11" s="15" t="str">
        <x:v>Backup jobs meet target success rate; restoration tests completed to schedule; critical services have approved RTO/RPO; recovery exercises meet defined objectives.</x:v>
      </x:c>
      <x:c r="Q11" s="15" t="str">
        <x:v>Backups only reduce risk when they can be restored. Treatment therefore emphasizes recoverability and measurable recovery assurance.</x:v>
      </x:c>
    </x:row>
    <x:row r="12">
      <x:c r="A12" s="15" t="str">
        <x:v>T011</x:v>
      </x:c>
      <x:c r="B12" s="15" t="str">
        <x:v>R011</x:v>
      </x:c>
      <x:c r="C12" s="15" t="str">
        <x:v>Broken Access Control</x:v>
      </x:c>
      <x:c r="D12" s="15" t="str">
        <x:v>High</x:v>
      </x:c>
      <x:c r="E12" s="15" t="str">
        <x:v>GAP-001, GAP-005, GAP-010</x:v>
      </x:c>
      <x:c r="F12" s="15" t="str">
        <x:v>Mitigate</x:v>
      </x:c>
      <x:c r="G12" s="15" t="str">
        <x:v>Enforce deny-by-default authorization, server-side object and function-level access checks, least privilege, authorization test cases, role reviews, and monitoring for access-control abuse.</x:v>
      </x:c>
      <x:c r="H12" s="15" t="str">
        <x:v>Preventive / Detective</x:v>
      </x:c>
      <x:c r="I12" s="15" t="str">
        <x:v>Critical</x:v>
      </x:c>
      <x:c r="J12" s="15" t="str">
        <x:v>Application Security / Identity &amp; Access Management</x:v>
      </x:c>
      <x:c r="K12" s="15" t="str">
        <x:v>0-3 months</x:v>
      </x:c>
      <x:c r="L12" s="15" t="n">
        <x:v>1</x:v>
      </x:c>
      <x:c r="M12" s="15" t="n">
        <x:v>5</x:v>
      </x:c>
      <x:c r="N12" s="15" t="n">
        <x:f>L12*M12</x:f>
        <x:v>5</x:v>
      </x:c>
      <x:c r="O12" s="15" t="str">
        <x:f>IF(N12&lt;=4,"Low",IF(N12&lt;=9,"Medium",IF(N12&lt;=16,"High","Critical")))</x:f>
        <x:v>Medium</x:v>
      </x:c>
      <x:c r="P12" s="15" t="str">
        <x:v>Authorization tests included in release gates; critical access-control findings remediated before release; privileged roles reviewed periodically.</x:v>
      </x:c>
      <x:c r="Q12" s="15" t="str">
        <x:v>Broken Access Control is OWASP Top 10:2025 A01 and can directly expose customer data or privileged functionality. Strong authorization design and testing are required.</x:v>
      </x:c>
    </x:row>
    <x:row r="13">
      <x:c r="A13" s="15" t="str">
        <x:v>T012</x:v>
      </x:c>
      <x:c r="B13" s="15" t="str">
        <x:v>R012</x:v>
      </x:c>
      <x:c r="C13" s="15" t="str">
        <x:v>Security Misconfiguration</x:v>
      </x:c>
      <x:c r="D13" s="15" t="str">
        <x:v>High</x:v>
      </x:c>
      <x:c r="E13" s="15" t="str">
        <x:v>GAP-002, GAP-005, GAP-010</x:v>
      </x:c>
      <x:c r="F13" s="15" t="str">
        <x:v>Mitigate</x:v>
      </x:c>
      <x:c r="G13" s="15" t="str">
        <x:v>Maintain hardened application and cloud baselines, remove unnecessary features, automate configuration checks, separate environments, control changes, and test for configuration weaknesses before release.</x:v>
      </x:c>
      <x:c r="H13" s="15" t="str">
        <x:v>Preventive / Detective</x:v>
      </x:c>
      <x:c r="I13" s="15" t="str">
        <x:v>High</x:v>
      </x:c>
      <x:c r="J13" s="15" t="str">
        <x:v>Application Security / Technology Operations</x:v>
      </x:c>
      <x:c r="K13" s="15" t="str">
        <x:v>3-6 months</x:v>
      </x:c>
      <x:c r="L13" s="15" t="n">
        <x:v>1</x:v>
      </x:c>
      <x:c r="M13" s="15" t="n">
        <x:v>5</x:v>
      </x:c>
      <x:c r="N13" s="15" t="n">
        <x:f>L13*M13</x:f>
        <x:v>5</x:v>
      </x:c>
      <x:c r="O13" s="15" t="str">
        <x:f>IF(N13&lt;=4,"Low",IF(N13&lt;=9,"Medium",IF(N13&lt;=16,"High","Critical")))</x:f>
        <x:v>Medium</x:v>
      </x:c>
      <x:c r="P13" s="15" t="str">
        <x:v>Critical systems assessed against approved baselines; high-risk configuration deviations remediated within SLA; pre-release configuration checks completed.</x:v>
      </x:c>
      <x:c r="Q13" s="15" t="str">
        <x:v>Standardized secure configuration and continuous checking reduce a highly preventable class of web and cloud exposure.</x:v>
      </x:c>
    </x:row>
    <x:row r="14">
      <x:c r="A14" s="15" t="str">
        <x:v>T013</x:v>
      </x:c>
      <x:c r="B14" s="15" t="str">
        <x:v>R013</x:v>
      </x:c>
      <x:c r="C14" s="15" t="str">
        <x:v>Software Supply Chain Failure</x:v>
      </x:c>
      <x:c r="D14" s="15" t="str">
        <x:v>High</x:v>
      </x:c>
      <x:c r="E14" s="15" t="str">
        <x:v>GAP-003, GAP-005, GAP-007, GAP-010</x:v>
      </x:c>
      <x:c r="F14" s="15" t="str">
        <x:v>Mitigate / Transfer</x:v>
      </x:c>
      <x:c r="G14" s="15" t="str">
        <x:v>Implement Software Composition Analysis, SBOM governance, trusted repositories, dependency pinning, signed artifacts, protected CI/CD access, vendor assurance, and staged update controls.</x:v>
      </x:c>
      <x:c r="H14" s="15" t="str">
        <x:v>Preventive / Detective</x:v>
      </x:c>
      <x:c r="I14" s="15" t="str">
        <x:v>Critical</x:v>
      </x:c>
      <x:c r="J14" s="15" t="str">
        <x:v>Application Security / Vendor Risk Management</x:v>
      </x:c>
      <x:c r="K14" s="15" t="str">
        <x:v>0-3 months</x:v>
      </x:c>
      <x:c r="L14" s="15" t="n">
        <x:v>1</x:v>
      </x:c>
      <x:c r="M14" s="15" t="n">
        <x:v>5</x:v>
      </x:c>
      <x:c r="N14" s="15" t="n">
        <x:f>L14*M14</x:f>
        <x:v>5</x:v>
      </x:c>
      <x:c r="O14" s="15" t="str">
        <x:f>IF(N14&lt;=4,"Low",IF(N14&lt;=9,"Medium",IF(N14&lt;=16,"High","Critical")))</x:f>
        <x:v>Medium</x:v>
      </x:c>
      <x:c r="P14" s="15" t="str">
        <x:v>Critical applications maintain an SBOM; dependencies scanned before release; critical vulnerable dependencies remediated within SLA; build artifacts signed and verified.</x:v>
      </x:c>
      <x:c r="Q14" s="15" t="str">
        <x:v>OWASP Top 10:2025 A03 recognizes software supply-chain failure as a major application risk. Controls must cover both internal pipelines and external dependencies.</x:v>
      </x:c>
    </x:row>
    <x:row r="15">
      <x:c r="A15" s="15" t="str">
        <x:v>T014</x:v>
      </x:c>
      <x:c r="B15" s="15" t="str">
        <x:v>R014</x:v>
      </x:c>
      <x:c r="C15" s="15" t="str">
        <x:v>Cryptographic Failure</x:v>
      </x:c>
      <x:c r="D15" s="15" t="str">
        <x:v>High</x:v>
      </x:c>
      <x:c r="E15" s="15" t="str">
        <x:v>GAP-004, GAP-005, GAP-010</x:v>
      </x:c>
      <x:c r="F15" s="15" t="str">
        <x:v>Mitigate</x:v>
      </x:c>
      <x:c r="G15" s="15" t="str">
        <x:v>Define approved cryptographic standards, require secure transport, protect sensitive data at rest where appropriate, centralize key management, manage certificate lifecycles, and periodically review cryptographic implementations.</x:v>
      </x:c>
      <x:c r="H15" s="15" t="str">
        <x:v>Preventive</x:v>
      </x:c>
      <x:c r="I15" s="15" t="str">
        <x:v>High</x:v>
      </x:c>
      <x:c r="J15" s="15" t="str">
        <x:v>Information Security / Application Security</x:v>
      </x:c>
      <x:c r="K15" s="15" t="str">
        <x:v>3-6 months</x:v>
      </x:c>
      <x:c r="L15" s="15" t="n">
        <x:v>1</x:v>
      </x:c>
      <x:c r="M15" s="15" t="n">
        <x:v>5</x:v>
      </x:c>
      <x:c r="N15" s="15" t="n">
        <x:f>L15*M15</x:f>
        <x:v>5</x:v>
      </x:c>
      <x:c r="O15" s="15" t="str">
        <x:f>IF(N15&lt;=4,"Low",IF(N15&lt;=9,"Medium",IF(N15&lt;=16,"High","Critical")))</x:f>
        <x:v>Medium</x:v>
      </x:c>
      <x:c r="P15" s="15" t="str">
        <x:v>Approved cryptographic standard published; certificates and keys inventoried; expired or weak cryptography removed within SLA; periodic cryptographic review completed.</x:v>
      </x:c>
      <x:c r="Q15" s="15" t="str">
        <x:v>Cryptographic failure can expose sensitive customer information even when other access controls are present. Governance and lifecycle management reduce implementation weakness.</x:v>
      </x:c>
    </x:row>
    <x:row r="16">
      <x:c r="A16" s="15" t="str">
        <x:v>T015</x:v>
      </x:c>
      <x:c r="B16" s="15" t="str">
        <x:v>R015</x:v>
      </x:c>
      <x:c r="C16" s="15" t="str">
        <x:v>Injection</x:v>
      </x:c>
      <x:c r="D16" s="15" t="str">
        <x:v>High</x:v>
      </x:c>
      <x:c r="E16" s="15" t="str">
        <x:v>GAP-005, GAP-010</x:v>
      </x:c>
      <x:c r="F16" s="15" t="str">
        <x:v>Mitigate</x:v>
      </x:c>
      <x:c r="G16" s="15" t="str">
        <x:v>Require parameterized queries and safe APIs, server-side input validation, context-aware output handling, secure code review, SAST, DAST, penetration testing, and monitoring for injection attempts.</x:v>
      </x:c>
      <x:c r="H16" s="15" t="str">
        <x:v>Preventive / Detective</x:v>
      </x:c>
      <x:c r="I16" s="15" t="str">
        <x:v>Critical</x:v>
      </x:c>
      <x:c r="J16" s="15" t="str">
        <x:v>Application Security / Software Engineering</x:v>
      </x:c>
      <x:c r="K16" s="15" t="str">
        <x:v>0-3 months</x:v>
      </x:c>
      <x:c r="L16" s="15" t="n">
        <x:v>1</x:v>
      </x:c>
      <x:c r="M16" s="15" t="n">
        <x:v>5</x:v>
      </x:c>
      <x:c r="N16" s="15" t="n">
        <x:f>L16*M16</x:f>
        <x:v>5</x:v>
      </x:c>
      <x:c r="O16" s="15" t="str">
        <x:f>IF(N16&lt;=4,"Low",IF(N16&lt;=9,"Medium",IF(N16&lt;=16,"High","Critical")))</x:f>
        <x:v>Medium</x:v>
      </x:c>
      <x:c r="P16" s="15" t="str">
        <x:v>Injection test cases included in security gates; critical injection findings remediated before production; secure coding checks included in code review.</x:v>
      </x:c>
      <x:c r="Q16" s="15" t="str">
        <x:v>Injection can lead to data compromise or command execution. Secure coding and automated plus manual testing directly reduce exploitability.</x:v>
      </x:c>
    </x:row>
    <x:row r="17">
      <x:c r="A17" s="15" t="str">
        <x:v>T016</x:v>
      </x:c>
      <x:c r="B17" s="15" t="str">
        <x:v>R016</x:v>
      </x:c>
      <x:c r="C17" s="15" t="str">
        <x:v>Insecure Design</x:v>
      </x:c>
      <x:c r="D17" s="15" t="str">
        <x:v>High</x:v>
      </x:c>
      <x:c r="E17" s="15" t="str">
        <x:v>GAP-005, GAP-010</x:v>
      </x:c>
      <x:c r="F17" s="15" t="str">
        <x:v>Mitigate</x:v>
      </x:c>
      <x:c r="G17" s="15" t="str">
        <x:v>Integrate security requirements, threat modelling, abuse-case analysis, trust-boundary review, secure design patterns, architecture review, and design approval into the development lifecycle.</x:v>
      </x:c>
      <x:c r="H17" s="15" t="str">
        <x:v>Preventive</x:v>
      </x:c>
      <x:c r="I17" s="15" t="str">
        <x:v>Critical</x:v>
      </x:c>
      <x:c r="J17" s="15" t="str">
        <x:v>Application Security / Solution Architecture</x:v>
      </x:c>
      <x:c r="K17" s="15" t="str">
        <x:v>0-3 months</x:v>
      </x:c>
      <x:c r="L17" s="15" t="n">
        <x:v>1</x:v>
      </x:c>
      <x:c r="M17" s="15" t="n">
        <x:v>5</x:v>
      </x:c>
      <x:c r="N17" s="15" t="n">
        <x:f>L17*M17</x:f>
        <x:v>5</x:v>
      </x:c>
      <x:c r="O17" s="15" t="str">
        <x:f>IF(N17&lt;=4,"Low",IF(N17&lt;=9,"Medium",IF(N17&lt;=16,"High","Critical")))</x:f>
        <x:v>Medium</x:v>
      </x:c>
      <x:c r="P17" s="15" t="str">
        <x:v>Threat models completed for critical applications and major changes; security requirements documented; architecture security review completed before implementation.</x:v>
      </x:c>
      <x:c r="Q17" s="15" t="str">
        <x:v>Design weaknesses cannot always be fixed by patching. Preventive architecture and threat-modelling controls are therefore the primary treatment.</x:v>
      </x:c>
    </x:row>
    <x:row r="18">
      <x:c r="A18" s="15" t="str">
        <x:v>T017</x:v>
      </x:c>
      <x:c r="B18" s="15" t="str">
        <x:v>R017</x:v>
      </x:c>
      <x:c r="C18" s="15" t="str">
        <x:v>Authentication Failure</x:v>
      </x:c>
      <x:c r="D18" s="15" t="str">
        <x:v>High</x:v>
      </x:c>
      <x:c r="E18" s="15" t="str">
        <x:v>GAP-001, GAP-005, GAP-006, GAP-010</x:v>
      </x:c>
      <x:c r="F18" s="15" t="str">
        <x:v>Mitigate</x:v>
      </x:c>
      <x:c r="G18" s="15" t="str">
        <x:v>Strengthen authentication with appropriate MFA, rate limiting, credential-stuffing defenses, secure session management, breached-password controls, secure recovery, and authentication monitoring.</x:v>
      </x:c>
      <x:c r="H18" s="15" t="str">
        <x:v>Preventive / Detective</x:v>
      </x:c>
      <x:c r="I18" s="15" t="str">
        <x:v>Critical</x:v>
      </x:c>
      <x:c r="J18" s="15" t="str">
        <x:v>Identity &amp; Access Management / Application Security</x:v>
      </x:c>
      <x:c r="K18" s="15" t="str">
        <x:v>0-3 months</x:v>
      </x:c>
      <x:c r="L18" s="15" t="n">
        <x:v>1</x:v>
      </x:c>
      <x:c r="M18" s="15" t="n">
        <x:v>5</x:v>
      </x:c>
      <x:c r="N18" s="15" t="n">
        <x:f>L18*M18</x:f>
        <x:v>5</x:v>
      </x:c>
      <x:c r="O18" s="15" t="str">
        <x:f>IF(N18&lt;=4,"Low",IF(N18&lt;=9,"Medium",IF(N18&lt;=16,"High","Critical")))</x:f>
        <x:v>Medium</x:v>
      </x:c>
      <x:c r="P18" s="15" t="str">
        <x:v>High-risk authentication flows protected by strong authentication; automated attacks rate-limited; session and recovery controls tested; authentication anomalies monitored.</x:v>
      </x:c>
      <x:c r="Q18" s="15" t="str">
        <x:v>Authentication failures can result in direct account takeover. Layered authentication, session, recovery, and monitoring controls reduce likelihood.</x:v>
      </x:c>
    </x:row>
    <x:row r="19">
      <x:c r="A19" s="15" t="str">
        <x:v>T018</x:v>
      </x:c>
      <x:c r="B19" s="15" t="str">
        <x:v>R018</x:v>
      </x:c>
      <x:c r="C19" s="15" t="str">
        <x:v>Software or Data Integrity Failure</x:v>
      </x:c>
      <x:c r="D19" s="15" t="str">
        <x:v>High</x:v>
      </x:c>
      <x:c r="E19" s="15" t="str">
        <x:v>GAP-003, GAP-005, GAP-010</x:v>
      </x:c>
      <x:c r="F19" s="15" t="str">
        <x:v>Mitigate</x:v>
      </x:c>
      <x:c r="G19" s="15" t="str">
        <x:v>Use signed and verified software artifacts and updates, integrity checks, protected repositories, controlled deployment pipelines, trusted-data validation, and formal change-management controls.</x:v>
      </x:c>
      <x:c r="H19" s="15" t="str">
        <x:v>Preventive / Detective</x:v>
      </x:c>
      <x:c r="I19" s="15" t="str">
        <x:v>Critical</x:v>
      </x:c>
      <x:c r="J19" s="15" t="str">
        <x:v>Application Security / Software Engineering</x:v>
      </x:c>
      <x:c r="K19" s="15" t="str">
        <x:v>0-3 months</x:v>
      </x:c>
      <x:c r="L19" s="15" t="n">
        <x:v>1</x:v>
      </x:c>
      <x:c r="M19" s="15" t="n">
        <x:v>5</x:v>
      </x:c>
      <x:c r="N19" s="15" t="n">
        <x:f>L19*M19</x:f>
        <x:v>5</x:v>
      </x:c>
      <x:c r="O19" s="15" t="str">
        <x:f>IF(N19&lt;=4,"Low",IF(N19&lt;=9,"Medium",IF(N19&lt;=16,"High","Critical")))</x:f>
        <x:v>Medium</x:v>
      </x:c>
      <x:c r="P19" s="15" t="str">
        <x:v>Production artifacts are signed and verified; deployment repositories use restricted access; unauthorized changes generate alerts; integrity checks included in release process.</x:v>
      </x:c>
      <x:c r="Q19" s="15" t="str">
        <x:v>Trust in software and data depends on integrity verification. Treatment focuses on preventing tampered artifacts or data from entering trusted workflows.</x:v>
      </x:c>
    </x:row>
    <x:row r="20">
      <x:c r="A20" s="15" t="str">
        <x:v>T019</x:v>
      </x:c>
      <x:c r="B20" s="15" t="str">
        <x:v>R019</x:v>
      </x:c>
      <x:c r="C20" s="15" t="str">
        <x:v>Security Logging and Alerting Failure</x:v>
      </x:c>
      <x:c r="D20" s="15" t="str">
        <x:v>Medium</x:v>
      </x:c>
      <x:c r="E20" s="15" t="str">
        <x:v>GAP-006, GAP-010</x:v>
      </x:c>
      <x:c r="F20" s="15" t="str">
        <x:v>Mitigate</x:v>
      </x:c>
      <x:c r="G20" s="15" t="str">
        <x:v>Define logging standards, centralize protected logs, ensure critical-system coverage, develop high-risk detection use cases, test alerts, define retention requirements, and measure detection and response effectiveness.</x:v>
      </x:c>
      <x:c r="H20" s="15" t="str">
        <x:v>Detective</x:v>
      </x:c>
      <x:c r="I20" s="15" t="str">
        <x:v>High</x:v>
      </x:c>
      <x:c r="J20" s="15" t="str">
        <x:v>Security Operations / Information Security</x:v>
      </x:c>
      <x:c r="K20" s="15" t="str">
        <x:v>3-6 months</x:v>
      </x:c>
      <x:c r="L20" s="15" t="n">
        <x:v>1</x:v>
      </x:c>
      <x:c r="M20" s="15" t="n">
        <x:v>4</x:v>
      </x:c>
      <x:c r="N20" s="15" t="n">
        <x:f>L20*M20</x:f>
        <x:v>4</x:v>
      </x:c>
      <x:c r="O20" s="15" t="str">
        <x:f>IF(N20&lt;=4,"Low",IF(N20&lt;=9,"Medium",IF(N20&lt;=16,"High","Critical")))</x:f>
        <x:v>Low</x:v>
      </x:c>
      <x:c r="P20" s="15" t="str">
        <x:v>Critical systems meet logging standard; priority detection use cases tested to schedule; alert triage meets SLA; log retention and integrity requirements are met.</x:v>
      </x:c>
      <x:c r="Q20" s="15" t="str">
        <x:v>Logging and alerting are foundational detective controls. Improving coverage and tested detections reduces the chance that malicious activity remains unnoticed.</x:v>
      </x:c>
    </x:row>
    <x:row r="21">
      <x:c r="A21" s="15" t="str">
        <x:v>T020</x:v>
      </x:c>
      <x:c r="B21" s="15" t="str">
        <x:v>R020</x:v>
      </x:c>
      <x:c r="C21" s="15" t="str">
        <x:v>Mishandling of Exceptional Conditions</x:v>
      </x:c>
      <x:c r="D21" s="15" t="str">
        <x:v>Medium</x:v>
      </x:c>
      <x:c r="E21" s="15" t="str">
        <x:v>GAP-005, GAP-009, GAP-010</x:v>
      </x:c>
      <x:c r="F21" s="15" t="str">
        <x:v>Mitigate</x:v>
      </x:c>
      <x:c r="G21" s="15" t="str">
        <x:v>Implement secure exception handling, fail-secure behavior, resource limits, generic external error messages, graceful degradation, negative testing, abnormal-state testing, and resilience test cases.</x:v>
      </x:c>
      <x:c r="H21" s="15" t="str">
        <x:v>Preventive / Corrective</x:v>
      </x:c>
      <x:c r="I21" s="15" t="str">
        <x:v>Critical</x:v>
      </x:c>
      <x:c r="J21" s="15" t="str">
        <x:v>Application Security / Software Engineering</x:v>
      </x:c>
      <x:c r="K21" s="15" t="str">
        <x:v>0-3 months</x:v>
      </x:c>
      <x:c r="L21" s="15" t="n">
        <x:v>1</x:v>
      </x:c>
      <x:c r="M21" s="15" t="n">
        <x:v>4</x:v>
      </x:c>
      <x:c r="N21" s="15" t="n">
        <x:f>L21*M21</x:f>
        <x:v>4</x:v>
      </x:c>
      <x:c r="O21" s="15" t="str">
        <x:f>IF(N21&lt;=4,"Low",IF(N21&lt;=9,"Medium",IF(N21&lt;=16,"High","Critical")))</x:f>
        <x:v>Low</x:v>
      </x:c>
      <x:c r="P21" s="15" t="str">
        <x:v>Negative and exceptional-condition tests included in release gates; sensitive error details not exposed externally; fail-secure behavior verified for critical workflows.</x:v>
      </x:c>
      <x:c r="Q21" s="15" t="str">
        <x:v>OWASP Top 10:2025 A10 highlights failures under abnormal conditions. Secure handling and negative testing reduce insecure fail-open behavior and availability impact.</x:v>
      </x:c>
    </x:row>
  </x:sheetData>
  <x:conditionalFormatting sqref="I2:I21">
    <x:cfRule type="expression" dxfId="0" priority="1">
      <x:formula>I2="Critical"</x:formula>
    </x:cfRule>
    <x:cfRule type="expression" dxfId="1" priority="2">
      <x:formula>I2="High"</x:formula>
    </x:cfRule>
    <x:cfRule type="expression" dxfId="2" priority="3">
      <x:formula>I2="Medium"</x:formula>
    </x:cfRule>
    <x:cfRule type="expression" dxfId="3" priority="4">
      <x:formula>I2="Low"</x:formula>
    </x:cfRule>
  </x:conditionalFormatting>
  <x:dataValidations count="4">
    <x:dataValidation type="list" sqref="F2:F21">
      <x:formula1>"Mitigate,Mitigate / Transfer,Accept,Avoid,Transfer"</x:formula1>
    </x:dataValidation>
    <x:dataValidation type="list" sqref="I2:I21">
      <x:formula1>"Critical,High,Medium,Low"</x:formula1>
    </x:dataValidation>
    <x:dataValidation type="list" sqref="L2:L21">
      <x:formula1>"1,2,3,4,5"</x:formula1>
    </x:dataValidation>
    <x:dataValidation type="list" sqref="M2:M21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3ddaa04f69498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</x:cols>
  <x:sheetData>
    <x:row r="1">
      <x:c r="A1" s="19" t="str">
        <x:v>Risk Treatment Summary</x:v>
      </x:c>
      <x:c r="B1" s="19" t="str"/>
    </x:row>
    <x:row r="2">
      <x:c r="A2" s="22" t="str">
        <x:v>Total Treatments</x:v>
      </x:c>
      <x:c r="B2" t="n">
        <x:v>20</x:v>
      </x:c>
    </x:row>
    <x:row r="3">
      <x:c r="A3" s="22" t="str">
        <x:v>Critical Priority</x:v>
      </x:c>
      <x:c r="B3" t="n">
        <x:f>COUNTIF('Risk Treatment Plan'!I2:I21,"Critical")</x:f>
        <x:v>8</x:v>
      </x:c>
    </x:row>
    <x:row r="4">
      <x:c r="A4" s="22" t="str">
        <x:v>High Priority</x:v>
      </x:c>
      <x:c r="B4" t="n">
        <x:f>COUNTIF('Risk Treatment Plan'!I2:I21,"High")</x:f>
        <x:v>11</x:v>
      </x:c>
    </x:row>
    <x:row r="5">
      <x:c r="A5" s="22" t="str">
        <x:v>Medium Priority</x:v>
      </x:c>
      <x:c r="B5" t="n">
        <x:f>COUNTIF('Risk Treatment Plan'!I2:I21,"Medium")</x:f>
        <x:v>1</x:v>
      </x:c>
    </x:row>
    <x:row r="6">
      <x:c r="A6" s="22" t="str">
        <x:v>Low Priority</x:v>
      </x:c>
      <x:c r="B6" t="n">
        <x:f>COUNTIF('Risk Treatment Plan'!I2:I21,"Low")</x:f>
        <x:v>0</x:v>
      </x:c>
    </x:row>
    <x:row r="7">
      <x:c r="A7" s="22" t="str">
        <x:v>Mitigate</x:v>
      </x:c>
      <x:c r="B7" t="n">
        <x:f>COUNTIF('Risk Treatment Plan'!F2:F21,"Mitigate")</x:f>
        <x:v>18</x:v>
      </x:c>
    </x:row>
    <x:row r="8">
      <x:c r="A8" s="22" t="str">
        <x:v>Mitigate / Transfer</x:v>
      </x:c>
      <x:c r="B8" t="n">
        <x:f>COUNTIF('Risk Treatment Plan'!F2:F21,"Mitigate / Transfer")</x:f>
        <x:v>2</x:v>
      </x:c>
    </x:row>
    <x:row r="9">
      <x:c r="A9" s="22" t="str">
        <x:v>Expected Low Risk</x:v>
      </x:c>
      <x:c r="B9" t="n">
        <x:f>COUNTIF('Risk Treatment Plan'!O2:O21,"Low")</x:f>
        <x:v>3</x:v>
      </x:c>
    </x:row>
    <x:row r="10">
      <x:c r="A10" s="22" t="str">
        <x:v>Expected Medium Risk</x:v>
      </x:c>
      <x:c r="B10" t="n">
        <x:f>COUNTIF('Risk Treatment Plan'!O2:O21,"Medium")</x:f>
        <x:v>17</x:v>
      </x:c>
    </x:row>
  </x:sheetData>
  <x:mergeCells>
    <x:mergeCell ref="A1:B1"/>
  </x:mergeCells>
  <x:pageMargins left="0.7" right="0.7" top="0.75" bottom="0.75" header="0.3" footer="0.3"/>
  <x:drawing xmlns:r="http://schemas.openxmlformats.org/officeDocument/2006/relationships" r:id="Rab0bea9e96ec4235"/>
</x:worksheet>
</file>