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T CSF 2.0 Mapp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Mapped Categories by Function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'Summary'!$A$3:$A$8</f>
            </numRef>
          </cat>
          <val>
            <numRef>
              <f>'Summary'!$B$3:$B$8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Categories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NISTCSF2Mapping" displayName="NISTCSF2Mapping" ref="A1:K23" headerRowCount="1">
  <autoFilter ref="A1:K23"/>
  <tableColumns count="11">
    <tableColumn id="1" name="NIST CSF 2.0 Category ID"/>
    <tableColumn id="2" name="Category Name"/>
    <tableColumn id="3" name="Function"/>
    <tableColumn id="4" name="Related Risk IDs"/>
    <tableColumn id="5" name="Related Gap IDs"/>
    <tableColumn id="6" name="Related Treatment IDs"/>
    <tableColumn id="7" name="Existing Control IDs"/>
    <tableColumn id="8" name="Applicability"/>
    <tableColumn id="9" name="Mapping Rationale"/>
    <tableColumn id="10" name="Public Evidence Status"/>
    <tableColumn id="11" name="Assessment 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14" customWidth="1" min="3" max="3"/>
    <col width="34" customWidth="1" min="4" max="4"/>
    <col width="25" customWidth="1" min="5" max="5"/>
    <col width="34" customWidth="1" min="6" max="6"/>
    <col width="25" customWidth="1" min="7" max="7"/>
    <col width="20" customWidth="1" min="8" max="8"/>
    <col width="50" customWidth="1" min="9" max="9"/>
    <col width="24" customWidth="1" min="10" max="10"/>
    <col width="50" customWidth="1" min="11" max="11"/>
  </cols>
  <sheetData>
    <row r="1">
      <c r="A1" s="1" t="inlineStr">
        <is>
          <t>NIST CSF 2.0 Category ID</t>
        </is>
      </c>
      <c r="B1" s="1" t="inlineStr">
        <is>
          <t>Category Name</t>
        </is>
      </c>
      <c r="C1" s="1" t="inlineStr">
        <is>
          <t>Function</t>
        </is>
      </c>
      <c r="D1" s="1" t="inlineStr">
        <is>
          <t>Related Risk IDs</t>
        </is>
      </c>
      <c r="E1" s="1" t="inlineStr">
        <is>
          <t>Related Gap IDs</t>
        </is>
      </c>
      <c r="F1" s="1" t="inlineStr">
        <is>
          <t>Related Treatment IDs</t>
        </is>
      </c>
      <c r="G1" s="1" t="inlineStr">
        <is>
          <t>Existing Control IDs</t>
        </is>
      </c>
      <c r="H1" s="1" t="inlineStr">
        <is>
          <t>Applicability</t>
        </is>
      </c>
      <c r="I1" s="1" t="inlineStr">
        <is>
          <t>Mapping Rationale</t>
        </is>
      </c>
      <c r="J1" s="1" t="inlineStr">
        <is>
          <t>Public Evidence Status</t>
        </is>
      </c>
      <c r="K1" s="1" t="inlineStr">
        <is>
          <t>Assessment Note</t>
        </is>
      </c>
    </row>
    <row r="2">
      <c r="A2" s="2" t="inlineStr">
        <is>
          <t>GV.OC</t>
        </is>
      </c>
      <c r="B2" s="2" t="inlineStr">
        <is>
          <t>Organizational Context</t>
        </is>
      </c>
      <c r="C2" s="2" t="inlineStr">
        <is>
          <t>Govern</t>
        </is>
      </c>
      <c r="D2" s="2" t="inlineStr">
        <is>
          <t>R001-R020</t>
        </is>
      </c>
      <c r="E2" s="2" t="inlineStr">
        <is>
          <t>GAP-010</t>
        </is>
      </c>
      <c r="F2" s="2" t="inlineStr">
        <is>
          <t>T001-T020</t>
        </is>
      </c>
      <c r="G2" s="2" t="inlineStr">
        <is>
          <t>C001</t>
        </is>
      </c>
      <c r="H2" s="2" t="inlineStr">
        <is>
          <t>Applicable</t>
        </is>
      </c>
      <c r="I2" s="2" t="inlineStr">
        <is>
          <t>Organizational context, critical services, stakeholders and dependencies shape cybersecurity risk decisions.</t>
        </is>
      </c>
      <c r="J2" s="2" t="inlineStr">
        <is>
          <t>Partially Evidenced</t>
        </is>
      </c>
      <c r="K2" s="2" t="inlineStr">
        <is>
          <t>Public information establishes business context, but internal cybersecurity context analysis is not fully available.</t>
        </is>
      </c>
    </row>
    <row r="3">
      <c r="A3" s="2" t="inlineStr">
        <is>
          <t>GV.RM</t>
        </is>
      </c>
      <c r="B3" s="2" t="inlineStr">
        <is>
          <t>Risk Management Strategy</t>
        </is>
      </c>
      <c r="C3" s="2" t="inlineStr">
        <is>
          <t>Govern</t>
        </is>
      </c>
      <c r="D3" s="2" t="inlineStr">
        <is>
          <t>R001-R020</t>
        </is>
      </c>
      <c r="E3" s="2" t="inlineStr">
        <is>
          <t>GAP-010</t>
        </is>
      </c>
      <c r="F3" s="2" t="inlineStr">
        <is>
          <t>T001-T020</t>
        </is>
      </c>
      <c r="G3" s="2" t="inlineStr">
        <is>
          <t>C001</t>
        </is>
      </c>
      <c r="H3" s="2" t="inlineStr">
        <is>
          <t>Applicable</t>
        </is>
      </c>
      <c r="I3" s="2" t="inlineStr">
        <is>
          <t>Directly supports risk assessment, treatment, prioritization and risk appetite considerations.</t>
        </is>
      </c>
      <c r="J3" s="2" t="inlineStr">
        <is>
          <t>Partially Evidenced</t>
        </is>
      </c>
      <c r="K3" s="2" t="inlineStr">
        <is>
          <t>This portfolio applies a risk methodology, but Dialog's internal risk appetite and strategy are not publicly verifiable.</t>
        </is>
      </c>
    </row>
    <row r="4">
      <c r="A4" s="2" t="inlineStr">
        <is>
          <t>GV.RR</t>
        </is>
      </c>
      <c r="B4" s="2" t="inlineStr">
        <is>
          <t>Roles, Responsibilities, and Authorities</t>
        </is>
      </c>
      <c r="C4" s="2" t="inlineStr">
        <is>
          <t>Govern</t>
        </is>
      </c>
      <c r="D4" s="2" t="inlineStr">
        <is>
          <t>R001-R020</t>
        </is>
      </c>
      <c r="E4" s="2" t="inlineStr">
        <is>
          <t>GAP-010</t>
        </is>
      </c>
      <c r="F4" s="2" t="inlineStr">
        <is>
          <t>T001-T020</t>
        </is>
      </c>
      <c r="G4" s="2" t="inlineStr">
        <is>
          <t>C001</t>
        </is>
      </c>
      <c r="H4" s="2" t="inlineStr">
        <is>
          <t>Applicable</t>
        </is>
      </c>
      <c r="I4" s="2" t="inlineStr">
        <is>
          <t>Supports assignment of accountable functional owners for cybersecurity risks and controls.</t>
        </is>
      </c>
      <c r="J4" s="2" t="inlineStr">
        <is>
          <t>Partially Evidenced</t>
        </is>
      </c>
      <c r="K4" s="2" t="inlineStr">
        <is>
          <t>Owners in this assessment are proposed functional owners, not confirmed internal assignments.</t>
        </is>
      </c>
    </row>
    <row r="5">
      <c r="A5" s="2" t="inlineStr">
        <is>
          <t>GV.PO</t>
        </is>
      </c>
      <c r="B5" s="2" t="inlineStr">
        <is>
          <t>Policy</t>
        </is>
      </c>
      <c r="C5" s="2" t="inlineStr">
        <is>
          <t>Govern</t>
        </is>
      </c>
      <c r="D5" s="2" t="inlineStr">
        <is>
          <t>R001-R020</t>
        </is>
      </c>
      <c r="E5" s="2" t="inlineStr">
        <is>
          <t>GAP-010</t>
        </is>
      </c>
      <c r="F5" s="2" t="inlineStr">
        <is>
          <t>T001-T020</t>
        </is>
      </c>
      <c r="G5" s="2" t="inlineStr">
        <is>
          <t>C001</t>
        </is>
      </c>
      <c r="H5" s="2" t="inlineStr">
        <is>
          <t>Applicable</t>
        </is>
      </c>
      <c r="I5" s="2" t="inlineStr">
        <is>
          <t>Policies establish management direction and expected cybersecurity practices.</t>
        </is>
      </c>
      <c r="J5" s="2" t="inlineStr">
        <is>
          <t>Partially Evidenced</t>
        </is>
      </c>
      <c r="K5" s="2" t="inlineStr">
        <is>
          <t>Public privacy and governance material exists, but the complete internal policy set is unavailable.</t>
        </is>
      </c>
    </row>
    <row r="6">
      <c r="A6" s="2" t="inlineStr">
        <is>
          <t>GV.OV</t>
        </is>
      </c>
      <c r="B6" s="2" t="inlineStr">
        <is>
          <t>Oversight</t>
        </is>
      </c>
      <c r="C6" s="2" t="inlineStr">
        <is>
          <t>Govern</t>
        </is>
      </c>
      <c r="D6" s="2" t="inlineStr">
        <is>
          <t>R001-R020</t>
        </is>
      </c>
      <c r="E6" s="2" t="inlineStr">
        <is>
          <t>GAP-010</t>
        </is>
      </c>
      <c r="F6" s="2" t="inlineStr">
        <is>
          <t>T001-T020</t>
        </is>
      </c>
      <c r="G6" s="2" t="inlineStr">
        <is>
          <t>C001</t>
        </is>
      </c>
      <c r="H6" s="2" t="inlineStr">
        <is>
          <t>Applicable</t>
        </is>
      </c>
      <c r="I6" s="2" t="inlineStr">
        <is>
          <t>Supports review of cybersecurity risk-management performance and control effectiveness.</t>
        </is>
      </c>
      <c r="J6" s="2" t="inlineStr">
        <is>
          <t>Not Publicly Verifiable</t>
        </is>
      </c>
      <c r="K6" s="2" t="inlineStr">
        <is>
          <t>Internal oversight, KPI, KRI and control-testing results were not available.</t>
        </is>
      </c>
    </row>
    <row r="7">
      <c r="A7" s="2" t="inlineStr">
        <is>
          <t>GV.SC</t>
        </is>
      </c>
      <c r="B7" s="2" t="inlineStr">
        <is>
          <t>Cybersecurity Supply Chain Risk Management</t>
        </is>
      </c>
      <c r="C7" s="2" t="inlineStr">
        <is>
          <t>Govern</t>
        </is>
      </c>
      <c r="D7" s="2" t="inlineStr">
        <is>
          <t>R009, R013, R018</t>
        </is>
      </c>
      <c r="E7" s="2" t="inlineStr">
        <is>
          <t>GAP-003, GAP-007</t>
        </is>
      </c>
      <c r="F7" s="2" t="inlineStr">
        <is>
          <t>T009, T013, T018</t>
        </is>
      </c>
      <c r="G7" s="2" t="inlineStr">
        <is>
          <t>C001, C007</t>
        </is>
      </c>
      <c r="H7" s="2" t="inlineStr">
        <is>
          <t>Applicable</t>
        </is>
      </c>
      <c r="I7" s="2" t="inlineStr">
        <is>
          <t>Addresses supplier, dependency, software supply-chain and third-party cybersecurity risk.</t>
        </is>
      </c>
      <c r="J7" s="2" t="inlineStr">
        <is>
          <t>Partially Evidenced</t>
        </is>
      </c>
      <c r="K7" s="2" t="inlineStr">
        <is>
          <t>Third-party relationships are public, but detailed supplier assurance and software supply-chain controls are not fully verifiable.</t>
        </is>
      </c>
    </row>
    <row r="8">
      <c r="A8" s="2" t="inlineStr">
        <is>
          <t>ID.AM</t>
        </is>
      </c>
      <c r="B8" s="2" t="inlineStr">
        <is>
          <t>Asset Management</t>
        </is>
      </c>
      <c r="C8" s="2" t="inlineStr">
        <is>
          <t>Identify</t>
        </is>
      </c>
      <c r="D8" s="2" t="inlineStr">
        <is>
          <t>R001-R020</t>
        </is>
      </c>
      <c r="E8" s="2" t="inlineStr">
        <is>
          <t>GAP-010</t>
        </is>
      </c>
      <c r="F8" s="2" t="inlineStr">
        <is>
          <t>T001-T020</t>
        </is>
      </c>
      <c r="G8" s="2" t="inlineStr">
        <is>
          <t>C001</t>
        </is>
      </c>
      <c r="H8" s="2" t="inlineStr">
        <is>
          <t>Applicable</t>
        </is>
      </c>
      <c r="I8" s="2" t="inlineStr">
        <is>
          <t>Assets, data, systems and services must be understood and prioritized to support risk management.</t>
        </is>
      </c>
      <c r="J8" s="2" t="inlineStr">
        <is>
          <t>Partially Evidenced</t>
        </is>
      </c>
      <c r="K8" s="2" t="inlineStr">
        <is>
          <t>A public-source asset register was developed, but the complete internal asset inventory is unavailable.</t>
        </is>
      </c>
    </row>
    <row r="9">
      <c r="A9" s="2" t="inlineStr">
        <is>
          <t>ID.RA</t>
        </is>
      </c>
      <c r="B9" s="2" t="inlineStr">
        <is>
          <t>Risk Assessment</t>
        </is>
      </c>
      <c r="C9" s="2" t="inlineStr">
        <is>
          <t>Identify</t>
        </is>
      </c>
      <c r="D9" s="2" t="inlineStr">
        <is>
          <t>R001-R020</t>
        </is>
      </c>
      <c r="E9" s="2" t="inlineStr">
        <is>
          <t>GAP-001-GAP-010</t>
        </is>
      </c>
      <c r="F9" s="2" t="inlineStr">
        <is>
          <t>T001-T020</t>
        </is>
      </c>
      <c r="G9" s="2" t="inlineStr">
        <is>
          <t>C001, C003</t>
        </is>
      </c>
      <c r="H9" s="2" t="inlineStr">
        <is>
          <t>Applicable</t>
        </is>
      </c>
      <c r="I9" s="2" t="inlineStr">
        <is>
          <t>Supports identification and assessment of threats, vulnerabilities, likelihood, impact and risk.</t>
        </is>
      </c>
      <c r="J9" s="2" t="inlineStr">
        <is>
          <t>Partially Evidenced</t>
        </is>
      </c>
      <c r="K9" s="2" t="inlineStr">
        <is>
          <t>The portfolio performs an external risk assessment; internal threat intelligence, vulnerability data and risk decisions are not available.</t>
        </is>
      </c>
    </row>
    <row r="10">
      <c r="A10" s="2" t="inlineStr">
        <is>
          <t>ID.IM</t>
        </is>
      </c>
      <c r="B10" s="2" t="inlineStr">
        <is>
          <t>Improvement</t>
        </is>
      </c>
      <c r="C10" s="2" t="inlineStr">
        <is>
          <t>Identify</t>
        </is>
      </c>
      <c r="D10" s="2" t="inlineStr">
        <is>
          <t>R001-R020</t>
        </is>
      </c>
      <c r="E10" s="2" t="inlineStr">
        <is>
          <t>GAP-010</t>
        </is>
      </c>
      <c r="F10" s="2" t="inlineStr">
        <is>
          <t>T001-T020</t>
        </is>
      </c>
      <c r="G10" s="2" t="inlineStr">
        <is>
          <t>C001, C007, C008</t>
        </is>
      </c>
      <c r="H10" s="2" t="inlineStr">
        <is>
          <t>Applicable</t>
        </is>
      </c>
      <c r="I10" s="2" t="inlineStr">
        <is>
          <t>Supports continual improvement based on assessments, incidents, exercises and performance measurement.</t>
        </is>
      </c>
      <c r="J10" s="2" t="inlineStr">
        <is>
          <t>Not Publicly Verifiable</t>
        </is>
      </c>
      <c r="K10" s="2" t="inlineStr">
        <is>
          <t>Internal lessons learned and improvement tracking were not publicly available.</t>
        </is>
      </c>
    </row>
    <row r="11">
      <c r="A11" s="2" t="inlineStr">
        <is>
          <t>PR.AA</t>
        </is>
      </c>
      <c r="B11" s="2" t="inlineStr">
        <is>
          <t>Identity Management, Authentication, and Access Control</t>
        </is>
      </c>
      <c r="C11" s="2" t="inlineStr">
        <is>
          <t>Protect</t>
        </is>
      </c>
      <c r="D11" s="2" t="inlineStr">
        <is>
          <t>R001, R002, R008, R011, R017</t>
        </is>
      </c>
      <c r="E11" s="2" t="inlineStr">
        <is>
          <t>GAP-001</t>
        </is>
      </c>
      <c r="F11" s="2" t="inlineStr">
        <is>
          <t>T001, T002, T008, T011, T017</t>
        </is>
      </c>
      <c r="G11" s="2" t="inlineStr">
        <is>
          <t>C005</t>
        </is>
      </c>
      <c r="H11" s="2" t="inlineStr">
        <is>
          <t>Applicable</t>
        </is>
      </c>
      <c r="I11" s="2" t="inlineStr">
        <is>
          <t>Directly addresses identity lifecycle, authentication, authorization and access governance risks.</t>
        </is>
      </c>
      <c r="J11" s="2" t="inlineStr">
        <is>
          <t>Partially Evidenced</t>
        </is>
      </c>
      <c r="K11" s="2" t="inlineStr">
        <is>
          <t>Access protections are indicated, but detailed IAM, MFA, PAM and access-review coverage cannot be independently verified.</t>
        </is>
      </c>
    </row>
    <row r="12">
      <c r="A12" s="2" t="inlineStr">
        <is>
          <t>PR.AT</t>
        </is>
      </c>
      <c r="B12" s="2" t="inlineStr">
        <is>
          <t>Awareness and Training</t>
        </is>
      </c>
      <c r="C12" s="2" t="inlineStr">
        <is>
          <t>Protect</t>
        </is>
      </c>
      <c r="D12" s="2" t="inlineStr">
        <is>
          <t>R007, R008</t>
        </is>
      </c>
      <c r="E12" s="2" t="inlineStr">
        <is>
          <t>GAP-010</t>
        </is>
      </c>
      <c r="F12" s="2" t="inlineStr">
        <is>
          <t>T007, T008</t>
        </is>
      </c>
      <c r="G12" s="2" t="inlineStr">
        <is>
          <t>C004</t>
        </is>
      </c>
      <c r="H12" s="2" t="inlineStr">
        <is>
          <t>Applicable</t>
        </is>
      </c>
      <c r="I12" s="2" t="inlineStr">
        <is>
          <t>Supports reduction of phishing, social engineering and insider-risk exposure.</t>
        </is>
      </c>
      <c r="J12" s="2" t="inlineStr">
        <is>
          <t>Partially Evidenced</t>
        </is>
      </c>
      <c r="K12" s="2" t="inlineStr">
        <is>
          <t>Awareness is represented as an existing control, but detailed training coverage and performance metrics are not public.</t>
        </is>
      </c>
    </row>
    <row r="13">
      <c r="A13" s="2" t="inlineStr">
        <is>
          <t>PR.DS</t>
        </is>
      </c>
      <c r="B13" s="2" t="inlineStr">
        <is>
          <t>Data Security</t>
        </is>
      </c>
      <c r="C13" s="2" t="inlineStr">
        <is>
          <t>Protect</t>
        </is>
      </c>
      <c r="D13" s="2" t="inlineStr">
        <is>
          <t>R001, R003, R008, R014, R018</t>
        </is>
      </c>
      <c r="E13" s="2" t="inlineStr">
        <is>
          <t>GAP-004</t>
        </is>
      </c>
      <c r="F13" s="2" t="inlineStr">
        <is>
          <t>T001, T003, T008, T014, T018</t>
        </is>
      </c>
      <c r="G13" s="2" t="inlineStr">
        <is>
          <t>C005, C006</t>
        </is>
      </c>
      <c r="H13" s="2" t="inlineStr">
        <is>
          <t>Applicable</t>
        </is>
      </c>
      <c r="I13" s="2" t="inlineStr">
        <is>
          <t>Supports confidentiality, integrity and availability of sensitive customer and payment information.</t>
        </is>
      </c>
      <c r="J13" s="2" t="inlineStr">
        <is>
          <t>Partially Evidenced</t>
        </is>
      </c>
      <c r="K13" s="2" t="inlineStr">
        <is>
          <t>Privacy and protection measures are public, but detailed encryption, key management and DLP coverage are not fully verifiable.</t>
        </is>
      </c>
    </row>
    <row r="14">
      <c r="A14" s="2" t="inlineStr">
        <is>
          <t>PR.PS</t>
        </is>
      </c>
      <c r="B14" s="2" t="inlineStr">
        <is>
          <t>Platform Security</t>
        </is>
      </c>
      <c r="C14" s="2" t="inlineStr">
        <is>
          <t>Protect</t>
        </is>
      </c>
      <c r="D14" s="2" t="inlineStr">
        <is>
          <t>R005, R006, R011, R012, R013, R015, R016, R017, R018, R020</t>
        </is>
      </c>
      <c r="E14" s="2" t="inlineStr">
        <is>
          <t>GAP-002, GAP-003, GAP-005, GAP-009</t>
        </is>
      </c>
      <c r="F14" s="2" t="inlineStr">
        <is>
          <t>T005, T006, T011-T018, T020</t>
        </is>
      </c>
      <c r="G14" s="2" t="inlineStr">
        <is>
          <t>C001, C003, C005, C007</t>
        </is>
      </c>
      <c r="H14" s="2" t="inlineStr">
        <is>
          <t>Applicable</t>
        </is>
      </c>
      <c r="I14" s="2" t="inlineStr">
        <is>
          <t>Addresses secure configuration, vulnerability management, software development, integrity and platform hardening.</t>
        </is>
      </c>
      <c r="J14" s="2" t="inlineStr">
        <is>
          <t>Partially Evidenced</t>
        </is>
      </c>
      <c r="K14" s="2" t="inlineStr">
        <is>
          <t>Security testing is indicated, but Secure SDLC, configuration baselines and development-security practices are not fully public.</t>
        </is>
      </c>
    </row>
    <row r="15">
      <c r="A15" s="2" t="inlineStr">
        <is>
          <t>PR.IR</t>
        </is>
      </c>
      <c r="B15" s="2" t="inlineStr">
        <is>
          <t>Technology Infrastructure Resilience</t>
        </is>
      </c>
      <c r="C15" s="2" t="inlineStr">
        <is>
          <t>Protect</t>
        </is>
      </c>
      <c r="D15" s="2" t="inlineStr">
        <is>
          <t>R004, R005, R010, R020</t>
        </is>
      </c>
      <c r="E15" s="2" t="inlineStr">
        <is>
          <t>GAP-002, GAP-008, GAP-009</t>
        </is>
      </c>
      <c r="F15" s="2" t="inlineStr">
        <is>
          <t>T004, T005, T010, T020</t>
        </is>
      </c>
      <c r="G15" s="2" t="inlineStr">
        <is>
          <t>C008, C007</t>
        </is>
      </c>
      <c r="H15" s="2" t="inlineStr">
        <is>
          <t>Applicable</t>
        </is>
      </c>
      <c r="I15" s="2" t="inlineStr">
        <is>
          <t>Supports availability, redundancy, recovery capability and resilience of critical technology services.</t>
        </is>
      </c>
      <c r="J15" s="2" t="inlineStr">
        <is>
          <t>Partially Evidenced</t>
        </is>
      </c>
      <c r="K15" s="2" t="inlineStr">
        <is>
          <t>Resilience is relevant to the business, but detailed architecture, RTO/RPO and exercise results are unavailable.</t>
        </is>
      </c>
    </row>
    <row r="16">
      <c r="A16" s="2" t="inlineStr">
        <is>
          <t>DE.CM</t>
        </is>
      </c>
      <c r="B16" s="2" t="inlineStr">
        <is>
          <t>Continuous Monitoring</t>
        </is>
      </c>
      <c r="C16" s="2" t="inlineStr">
        <is>
          <t>Detect</t>
        </is>
      </c>
      <c r="D16" s="2" t="inlineStr">
        <is>
          <t>R001, R002, R004, R007, R008, R019</t>
        </is>
      </c>
      <c r="E16" s="2" t="inlineStr">
        <is>
          <t>GAP-006</t>
        </is>
      </c>
      <c r="F16" s="2" t="inlineStr">
        <is>
          <t>T001, T002, T004, T007, T008, T019</t>
        </is>
      </c>
      <c r="G16" s="2" t="inlineStr">
        <is>
          <t>C002</t>
        </is>
      </c>
      <c r="H16" s="2" t="inlineStr">
        <is>
          <t>Applicable</t>
        </is>
      </c>
      <c r="I16" s="2" t="inlineStr">
        <is>
          <t>Supports ongoing monitoring for anomalous activity, attacks and control failures.</t>
        </is>
      </c>
      <c r="J16" s="2" t="inlineStr">
        <is>
          <t>Partially Evidenced</t>
        </is>
      </c>
      <c r="K16" s="2" t="inlineStr">
        <is>
          <t>Monitoring capability is publicly indicated, but source coverage, alert logic and effectiveness were not tested.</t>
        </is>
      </c>
    </row>
    <row r="17">
      <c r="A17" s="2" t="inlineStr">
        <is>
          <t>DE.AE</t>
        </is>
      </c>
      <c r="B17" s="2" t="inlineStr">
        <is>
          <t>Adverse Event Analysis</t>
        </is>
      </c>
      <c r="C17" s="2" t="inlineStr">
        <is>
          <t>Detect</t>
        </is>
      </c>
      <c r="D17" s="2" t="inlineStr">
        <is>
          <t>R001, R002, R004, R007, R019</t>
        </is>
      </c>
      <c r="E17" s="2" t="inlineStr">
        <is>
          <t>GAP-006</t>
        </is>
      </c>
      <c r="F17" s="2" t="inlineStr">
        <is>
          <t>T001, T002, T004, T007, T019</t>
        </is>
      </c>
      <c r="G17" s="2" t="inlineStr">
        <is>
          <t>C002, C007</t>
        </is>
      </c>
      <c r="H17" s="2" t="inlineStr">
        <is>
          <t>Applicable</t>
        </is>
      </c>
      <c r="I17" s="2" t="inlineStr">
        <is>
          <t>Supports analysis and correlation of detected events to understand potential cybersecurity incidents.</t>
        </is>
      </c>
      <c r="J17" s="2" t="inlineStr">
        <is>
          <t>Not Publicly Verifiable</t>
        </is>
      </c>
      <c r="K17" s="2" t="inlineStr">
        <is>
          <t>Detailed event-analysis processes, thresholds and detection engineering were not publicly available.</t>
        </is>
      </c>
    </row>
    <row r="18">
      <c r="A18" s="2" t="inlineStr">
        <is>
          <t>RS.MA</t>
        </is>
      </c>
      <c r="B18" s="2" t="inlineStr">
        <is>
          <t>Incident Management</t>
        </is>
      </c>
      <c r="C18" s="2" t="inlineStr">
        <is>
          <t>Respond</t>
        </is>
      </c>
      <c r="D18" s="2" t="inlineStr">
        <is>
          <t>R001, R004, R007, R009, R019</t>
        </is>
      </c>
      <c r="E18" s="2" t="inlineStr">
        <is>
          <t>GAP-006, GAP-008</t>
        </is>
      </c>
      <c r="F18" s="2" t="inlineStr">
        <is>
          <t>T001, T004, T007, T009, T019</t>
        </is>
      </c>
      <c r="G18" s="2" t="inlineStr">
        <is>
          <t>C007</t>
        </is>
      </c>
      <c r="H18" s="2" t="inlineStr">
        <is>
          <t>Applicable</t>
        </is>
      </c>
      <c r="I18" s="2" t="inlineStr">
        <is>
          <t>Supports coordinated management of cybersecurity incidents from declaration through closure.</t>
        </is>
      </c>
      <c r="J18" s="2" t="inlineStr">
        <is>
          <t>Partially Evidenced</t>
        </is>
      </c>
      <c r="K18" s="2" t="inlineStr">
        <is>
          <t>Incident-response capability is indicated, but detailed procedures and exercise results are not public.</t>
        </is>
      </c>
    </row>
    <row r="19">
      <c r="A19" s="2" t="inlineStr">
        <is>
          <t>RS.AN</t>
        </is>
      </c>
      <c r="B19" s="2" t="inlineStr">
        <is>
          <t>Incident Analysis</t>
        </is>
      </c>
      <c r="C19" s="2" t="inlineStr">
        <is>
          <t>Respond</t>
        </is>
      </c>
      <c r="D19" s="2" t="inlineStr">
        <is>
          <t>R001, R002, R007, R008, R019</t>
        </is>
      </c>
      <c r="E19" s="2" t="inlineStr">
        <is>
          <t>GAP-006</t>
        </is>
      </c>
      <c r="F19" s="2" t="inlineStr">
        <is>
          <t>T001, T002, T007, T008, T019</t>
        </is>
      </c>
      <c r="G19" s="2" t="inlineStr">
        <is>
          <t>C002, C007</t>
        </is>
      </c>
      <c r="H19" s="2" t="inlineStr">
        <is>
          <t>Applicable</t>
        </is>
      </c>
      <c r="I19" s="2" t="inlineStr">
        <is>
          <t>Supports investigation, scope determination and analysis of cybersecurity incidents.</t>
        </is>
      </c>
      <c r="J19" s="2" t="inlineStr">
        <is>
          <t>Not Publicly Verifiable</t>
        </is>
      </c>
      <c r="K19" s="2" t="inlineStr">
        <is>
          <t>Internal investigation and forensic-analysis procedures were not available.</t>
        </is>
      </c>
    </row>
    <row r="20">
      <c r="A20" s="2" t="inlineStr">
        <is>
          <t>RS.CO</t>
        </is>
      </c>
      <c r="B20" s="2" t="inlineStr">
        <is>
          <t>Incident Response Reporting and Communication</t>
        </is>
      </c>
      <c r="C20" s="2" t="inlineStr">
        <is>
          <t>Respond</t>
        </is>
      </c>
      <c r="D20" s="2" t="inlineStr">
        <is>
          <t>R001, R004, R007, R009, R019</t>
        </is>
      </c>
      <c r="E20" s="2" t="inlineStr">
        <is>
          <t>GAP-006, GAP-007</t>
        </is>
      </c>
      <c r="F20" s="2" t="inlineStr">
        <is>
          <t>T001, T004, T007, T009, T019</t>
        </is>
      </c>
      <c r="G20" s="2" t="inlineStr">
        <is>
          <t>C007</t>
        </is>
      </c>
      <c r="H20" s="2" t="inlineStr">
        <is>
          <t>Applicable</t>
        </is>
      </c>
      <c r="I20" s="2" t="inlineStr">
        <is>
          <t>Supports internal and external incident communication, including relevant suppliers and stakeholders.</t>
        </is>
      </c>
      <c r="J20" s="2" t="inlineStr">
        <is>
          <t>Not Publicly Verifiable</t>
        </is>
      </c>
      <c r="K20" s="2" t="inlineStr">
        <is>
          <t>Detailed communication plans and contractual incident-reporting workflows are not public.</t>
        </is>
      </c>
    </row>
    <row r="21">
      <c r="A21" s="2" t="inlineStr">
        <is>
          <t>RS.MI</t>
        </is>
      </c>
      <c r="B21" s="2" t="inlineStr">
        <is>
          <t>Incident Mitigation</t>
        </is>
      </c>
      <c r="C21" s="2" t="inlineStr">
        <is>
          <t>Respond</t>
        </is>
      </c>
      <c r="D21" s="2" t="inlineStr">
        <is>
          <t>R001, R002, R004, R007, R009, R019</t>
        </is>
      </c>
      <c r="E21" s="2" t="inlineStr">
        <is>
          <t>GAP-006</t>
        </is>
      </c>
      <c r="F21" s="2" t="inlineStr">
        <is>
          <t>T001, T002, T004, T007, T009, T019</t>
        </is>
      </c>
      <c r="G21" s="2" t="inlineStr">
        <is>
          <t>C007, C002</t>
        </is>
      </c>
      <c r="H21" s="2" t="inlineStr">
        <is>
          <t>Applicable</t>
        </is>
      </c>
      <c r="I21" s="2" t="inlineStr">
        <is>
          <t>Supports containment and mitigation actions that reduce incident impact and prevent further spread.</t>
        </is>
      </c>
      <c r="J21" s="2" t="inlineStr">
        <is>
          <t>Partially Evidenced</t>
        </is>
      </c>
      <c r="K21" s="2" t="inlineStr">
        <is>
          <t>Response capability is indicated, but containment effectiveness cannot be independently tested.</t>
        </is>
      </c>
    </row>
    <row r="22">
      <c r="A22" s="2" t="inlineStr">
        <is>
          <t>RC.RP</t>
        </is>
      </c>
      <c r="B22" s="2" t="inlineStr">
        <is>
          <t>Incident Recovery Plan Execution</t>
        </is>
      </c>
      <c r="C22" s="2" t="inlineStr">
        <is>
          <t>Recover</t>
        </is>
      </c>
      <c r="D22" s="2" t="inlineStr">
        <is>
          <t>R004, R010, R020</t>
        </is>
      </c>
      <c r="E22" s="2" t="inlineStr">
        <is>
          <t>GAP-008, GAP-009</t>
        </is>
      </c>
      <c r="F22" s="2" t="inlineStr">
        <is>
          <t>T004, T010, T020</t>
        </is>
      </c>
      <c r="G22" s="2" t="inlineStr">
        <is>
          <t>C008</t>
        </is>
      </c>
      <c r="H22" s="2" t="inlineStr">
        <is>
          <t>Applicable</t>
        </is>
      </c>
      <c r="I22" s="2" t="inlineStr">
        <is>
          <t>Supports execution of recovery activities following disruption or cybersecurity incidents.</t>
        </is>
      </c>
      <c r="J22" s="2" t="inlineStr">
        <is>
          <t>Partially Evidenced</t>
        </is>
      </c>
      <c r="K22" s="2" t="inlineStr">
        <is>
          <t>Business continuity and resilience are relevant, but detailed recovery plans and restoration results are not public.</t>
        </is>
      </c>
    </row>
    <row r="23">
      <c r="A23" s="2" t="inlineStr">
        <is>
          <t>RC.CO</t>
        </is>
      </c>
      <c r="B23" s="2" t="inlineStr">
        <is>
          <t>Incident Recovery Communication</t>
        </is>
      </c>
      <c r="C23" s="2" t="inlineStr">
        <is>
          <t>Recover</t>
        </is>
      </c>
      <c r="D23" s="2" t="inlineStr">
        <is>
          <t>R004, R010</t>
        </is>
      </c>
      <c r="E23" s="2" t="inlineStr">
        <is>
          <t>GAP-008</t>
        </is>
      </c>
      <c r="F23" s="2" t="inlineStr">
        <is>
          <t>T004, T010</t>
        </is>
      </c>
      <c r="G23" s="2" t="inlineStr">
        <is>
          <t>C008, C007</t>
        </is>
      </c>
      <c r="H23" s="2" t="inlineStr">
        <is>
          <t>Applicable</t>
        </is>
      </c>
      <c r="I23" s="2" t="inlineStr">
        <is>
          <t>Supports coordinated communication during restoration and return to normal operations.</t>
        </is>
      </c>
      <c r="J23" s="2" t="inlineStr">
        <is>
          <t>Not Publicly Verifiable</t>
        </is>
      </c>
      <c r="K23" s="2" t="inlineStr">
        <is>
          <t>Detailed recovery-communication procedures were not publicly available.</t>
        </is>
      </c>
    </row>
  </sheetData>
  <dataValidations count="2">
    <dataValidation sqref="H2:H23" showDropDown="0" showInputMessage="0" showErrorMessage="0" allowBlank="0" type="list">
      <formula1>"Applicable,Potentially Applicable,Not Assessed"</formula1>
    </dataValidation>
    <dataValidation sqref="J2:J23" showDropDown="0" showInputMessage="0" showErrorMessage="0" allowBlank="0" type="list">
      <formula1>"Publicly Evidenced,Partially Evidenced,Not Publicly Verifiable"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3" t="inlineStr">
        <is>
          <t>NIST CSF 2.0 Mapping Summary</t>
        </is>
      </c>
      <c r="B1" s="3" t="n"/>
    </row>
    <row r="2">
      <c r="A2" s="4" t="inlineStr">
        <is>
          <t>Mapped Categories</t>
        </is>
      </c>
      <c r="B2" t="n">
        <v>22</v>
      </c>
    </row>
    <row r="3">
      <c r="A3" s="4" t="inlineStr">
        <is>
          <t>Govern</t>
        </is>
      </c>
      <c r="B3">
        <f>COUNTIF('NIST CSF 2.0 Mapping'!C2:C100,"Govern")</f>
        <v/>
      </c>
    </row>
    <row r="4">
      <c r="A4" s="4" t="inlineStr">
        <is>
          <t>Identify</t>
        </is>
      </c>
      <c r="B4">
        <f>COUNTIF('NIST CSF 2.0 Mapping'!C2:C100,"Identify")</f>
        <v/>
      </c>
    </row>
    <row r="5">
      <c r="A5" s="4" t="inlineStr">
        <is>
          <t>Protect</t>
        </is>
      </c>
      <c r="B5">
        <f>COUNTIF('NIST CSF 2.0 Mapping'!C2:C100,"Protect")</f>
        <v/>
      </c>
    </row>
    <row r="6">
      <c r="A6" s="4" t="inlineStr">
        <is>
          <t>Detect</t>
        </is>
      </c>
      <c r="B6">
        <f>COUNTIF('NIST CSF 2.0 Mapping'!C2:C100,"Detect")</f>
        <v/>
      </c>
    </row>
    <row r="7">
      <c r="A7" s="4" t="inlineStr">
        <is>
          <t>Respond</t>
        </is>
      </c>
      <c r="B7">
        <f>COUNTIF('NIST CSF 2.0 Mapping'!C2:C100,"Respond")</f>
        <v/>
      </c>
    </row>
    <row r="8">
      <c r="A8" s="4" t="inlineStr">
        <is>
          <t>Recover</t>
        </is>
      </c>
      <c r="B8">
        <f>COUNTIF('NIST CSF 2.0 Mapping'!C2:C100,"Recover")</f>
        <v/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2026-08-19T06:22:27Z</dcterms:created>
  <dcterms:modified xmlns:dcterms="http://purl.org/dc/terms/" xmlns:xsi="http://www.w3.org/2001/XMLSchema-instance" xsi:type="dcterms:W3CDTF">2026-08-19T06:22:27Z</dcterms:modified>
</cp:coreProperties>
</file>