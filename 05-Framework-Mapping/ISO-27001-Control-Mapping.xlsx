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15b74b808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O 27001 Mapping" sheetId="1" r:id="Rda1017e969ef4087"/>
    <x:sheet xmlns:r="http://schemas.openxmlformats.org/officeDocument/2006/relationships" name="Summary" sheetId="2" r:id="R7ea03527c230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9d3995cc14871" /><Relationship Type="http://schemas.openxmlformats.org/officeDocument/2006/relationships/theme" Target="/xl/theme/theme1.xml" Id="Ra4418335ca1b4171" /><Relationship Type="http://schemas.openxmlformats.org/officeDocument/2006/relationships/sharedStrings" Target="/xl/sharedStrings.xml" Id="R39c85cda68d44e80" /><Relationship Type="http://schemas.openxmlformats.org/officeDocument/2006/relationships/worksheet" Target="/xl/worksheets/sheet1.xml" Id="Rda1017e969ef4087" /><Relationship Type="http://schemas.openxmlformats.org/officeDocument/2006/relationships/worksheet" Target="/xl/worksheets/sheet2.xml" Id="R7ea03527c2304c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1bdff19cfc4d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Mapped Controls by ISO Theme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'Summary'!$A$3:$A$6</c:f>
              <c:strCache>
                <c:ptCount val="0"/>
              </c:strCache>
            </c:strRef>
          </c:cat>
          <c:val>
            <c:numRef>
              <c:f>'Summary'!$B$3:$B$6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1bdff19cfc4d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SO27001Mapping" displayName="ISO27001Mapping" ref="A1:K45" headerRowCount="1" totalsRowCount="0" totalsRowShown="0">
  <x:tableColumns count="11">
    <x:tableColumn id="1" name="ISO Control ID"/>
    <x:tableColumn id="2" name="ISO Control Name"/>
    <x:tableColumn id="3" name="Control Domain"/>
    <x:tableColumn id="4" name="Related Risk IDs"/>
    <x:tableColumn id="5" name="Related Gap IDs"/>
    <x:tableColumn id="6" name="Related Treatment IDs"/>
    <x:tableColumn id="7" name="Existing Control IDs"/>
    <x:tableColumn id="8" name="Applicability"/>
    <x:tableColumn id="9" name="Mapping Rationale"/>
    <x:tableColumn id="10" name="Public Evidence Status"/>
    <x:tableColumn id="11" name="Assessmen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0126a00d0241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7ee25ab27a045f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18" hidden="0" customWidth="1"/>
    <x:col min="4" max="4" width="31" hidden="0" customWidth="1"/>
    <x:col min="5" max="5" width="23" hidden="0" customWidth="1"/>
    <x:col min="6" max="6" width="32" hidden="0" customWidth="1"/>
    <x:col min="7" max="7" width="24" hidden="0" customWidth="1"/>
    <x:col min="8" max="8" width="20" hidden="0" customWidth="1"/>
    <x:col min="9" max="9" width="48" hidden="0" customWidth="1"/>
    <x:col min="10" max="10" width="23" hidden="0" customWidth="1"/>
    <x:col min="11" max="11" width="48" hidden="0" customWidth="1"/>
  </x:cols>
  <x:sheetData>
    <x:row r="1">
      <x:c r="A1" s="12" t="str">
        <x:v>ISO Control ID</x:v>
      </x:c>
      <x:c r="B1" s="12" t="str">
        <x:v>ISO Control Name</x:v>
      </x:c>
      <x:c r="C1" s="12" t="str">
        <x:v>Control Domain</x:v>
      </x:c>
      <x:c r="D1" s="12" t="str">
        <x:v>Related Risk IDs</x:v>
      </x:c>
      <x:c r="E1" s="12" t="str">
        <x:v>Related Gap IDs</x:v>
      </x:c>
      <x:c r="F1" s="12" t="str">
        <x:v>Related Treatment IDs</x:v>
      </x:c>
      <x:c r="G1" s="12" t="str">
        <x:v>Existing Control IDs</x:v>
      </x:c>
      <x:c r="H1" s="12" t="str">
        <x:v>Applicability</x:v>
      </x:c>
      <x:c r="I1" s="12" t="str">
        <x:v>Mapping Rationale</x:v>
      </x:c>
      <x:c r="J1" s="12" t="str">
        <x:v>Public Evidence Status</x:v>
      </x:c>
      <x:c r="K1" s="12" t="str">
        <x:v>Assessment Note</x:v>
      </x:c>
    </x:row>
    <x:row r="2">
      <x:c r="A2" s="13" t="str">
        <x:v>A.5.2</x:v>
      </x:c>
      <x:c r="B2" s="13" t="str">
        <x:v>Information security roles and responsibilities</x:v>
      </x:c>
      <x:c r="C2" s="13" t="str">
        <x:v>Organizational</x:v>
      </x:c>
      <x:c r="D2" s="13" t="str">
        <x:v>R001-R020</x:v>
      </x:c>
      <x:c r="E2" s="13" t="str">
        <x:v>GAP-010</x:v>
      </x:c>
      <x:c r="F2" s="13" t="str">
        <x:v>T001-T020</x:v>
      </x:c>
      <x:c r="G2" s="13" t="str">
        <x:v>C001</x:v>
      </x:c>
      <x:c r="H2" s="13" t="str">
        <x:v>Applicable</x:v>
      </x:c>
      <x:c r="I2" s="13" t="str">
        <x:v>Supports defined security ownership and accountability across the risk-treatment lifecycle.</x:v>
      </x:c>
      <x:c r="J2" s="13" t="str">
        <x:v>Partially Evidenced</x:v>
      </x:c>
      <x:c r="K2" s="13" t="str">
        <x:v>Functional owners are proposed in this assessment; internal role assignments were not independently verified.</x:v>
      </x:c>
    </x:row>
    <x:row r="3">
      <x:c r="A3" s="13" t="str">
        <x:v>A.5.9</x:v>
      </x:c>
      <x:c r="B3" s="13" t="str">
        <x:v>Inventory of information and other associated assets</x:v>
      </x:c>
      <x:c r="C3" s="13" t="str">
        <x:v>Organizational</x:v>
      </x:c>
      <x:c r="D3" s="13" t="str">
        <x:v>R001-R020</x:v>
      </x:c>
      <x:c r="E3" s="13" t="str">
        <x:v>GAP-010</x:v>
      </x:c>
      <x:c r="F3" s="13" t="str">
        <x:v>T001-T020</x:v>
      </x:c>
      <x:c r="G3" s="13" t="str">
        <x:v>C001</x:v>
      </x:c>
      <x:c r="H3" s="13" t="str">
        <x:v>Applicable</x:v>
      </x:c>
      <x:c r="I3" s="13" t="str">
        <x:v>Asset identification supports risk ownership, classification, assessment and treatment.</x:v>
      </x:c>
      <x:c r="J3" s="13" t="str">
        <x:v>Partially Evidenced</x:v>
      </x:c>
      <x:c r="K3" s="13" t="str">
        <x:v>The portfolio contains a public-source asset register; Dialog's complete internal inventory is not available.</x:v>
      </x:c>
    </x:row>
    <x:row r="4">
      <x:c r="A4" s="13" t="str">
        <x:v>A.5.15</x:v>
      </x:c>
      <x:c r="B4" s="13" t="str">
        <x:v>Access control</x:v>
      </x:c>
      <x:c r="C4" s="13" t="str">
        <x:v>Organizational</x:v>
      </x:c>
      <x:c r="D4" s="13" t="str">
        <x:v>R001, R002, R008, R011, R017</x:v>
      </x:c>
      <x:c r="E4" s="13" t="str">
        <x:v>GAP-001</x:v>
      </x:c>
      <x:c r="F4" s="13" t="str">
        <x:v>T001, T002, T008, T011, T017</x:v>
      </x:c>
      <x:c r="G4" s="13" t="str">
        <x:v>C005</x:v>
      </x:c>
      <x:c r="H4" s="13" t="str">
        <x:v>Applicable</x:v>
      </x:c>
      <x:c r="I4" s="13" t="str">
        <x:v>Establishes governance for restricting access according to business and security requirements.</x:v>
      </x:c>
      <x:c r="J4" s="13" t="str">
        <x:v>Partially Evidenced</x:v>
      </x:c>
      <x:c r="K4" s="13" t="str">
        <x:v>Public information supports access protection, but detailed access-control governance is not independently verifiable.</x:v>
      </x:c>
    </x:row>
    <x:row r="5">
      <x:c r="A5" s="13" t="str">
        <x:v>A.5.16</x:v>
      </x:c>
      <x:c r="B5" s="13" t="str">
        <x:v>Identity management</x:v>
      </x:c>
      <x:c r="C5" s="13" t="str">
        <x:v>Organizational</x:v>
      </x:c>
      <x:c r="D5" s="13" t="str">
        <x:v>R002, R008, R011, R017</x:v>
      </x:c>
      <x:c r="E5" s="13" t="str">
        <x:v>GAP-001</x:v>
      </x:c>
      <x:c r="F5" s="13" t="str">
        <x:v>T002, T008, T011, T017</x:v>
      </x:c>
      <x:c r="G5" s="13" t="str">
        <x:v>C005</x:v>
      </x:c>
      <x:c r="H5" s="13" t="str">
        <x:v>Applicable</x:v>
      </x:c>
      <x:c r="I5" s="13" t="str">
        <x:v>Supports controlled identity lifecycle management for users and privileged identities.</x:v>
      </x:c>
      <x:c r="J5" s="13" t="str">
        <x:v>Not Publicly Verifiable</x:v>
      </x:c>
      <x:c r="K5" s="13" t="str">
        <x:v>Detailed identity lifecycle processes were not available in the reviewed public evidence.</x:v>
      </x:c>
    </x:row>
    <x:row r="6">
      <x:c r="A6" s="13" t="str">
        <x:v>A.5.17</x:v>
      </x:c>
      <x:c r="B6" s="13" t="str">
        <x:v>Authentication information</x:v>
      </x:c>
      <x:c r="C6" s="13" t="str">
        <x:v>Organizational</x:v>
      </x:c>
      <x:c r="D6" s="13" t="str">
        <x:v>R002, R017</x:v>
      </x:c>
      <x:c r="E6" s="13" t="str">
        <x:v>GAP-001</x:v>
      </x:c>
      <x:c r="F6" s="13" t="str">
        <x:v>T002, T017</x:v>
      </x:c>
      <x:c r="G6" s="13" t="str">
        <x:v>C005</x:v>
      </x:c>
      <x:c r="H6" s="13" t="str">
        <x:v>Applicable</x:v>
      </x:c>
      <x:c r="I6" s="13" t="str">
        <x:v>Supports secure allocation and management of authentication information.</x:v>
      </x:c>
      <x:c r="J6" s="13" t="str">
        <x:v>Not Publicly Verifiable</x:v>
      </x:c>
      <x:c r="K6" s="13" t="str">
        <x:v>Detailed credential and authentication-information management processes were not publicly available.</x:v>
      </x:c>
    </x:row>
    <x:row r="7">
      <x:c r="A7" s="13" t="str">
        <x:v>A.5.18</x:v>
      </x:c>
      <x:c r="B7" s="13" t="str">
        <x:v>Access rights</x:v>
      </x:c>
      <x:c r="C7" s="13" t="str">
        <x:v>Organizational</x:v>
      </x:c>
      <x:c r="D7" s="13" t="str">
        <x:v>R001, R002, R008, R011, R017</x:v>
      </x:c>
      <x:c r="E7" s="13" t="str">
        <x:v>GAP-001</x:v>
      </x:c>
      <x:c r="F7" s="13" t="str">
        <x:v>T001, T002, T008, T011, T017</x:v>
      </x:c>
      <x:c r="G7" s="13" t="str">
        <x:v>C005</x:v>
      </x:c>
      <x:c r="H7" s="13" t="str">
        <x:v>Applicable</x:v>
      </x:c>
      <x:c r="I7" s="13" t="str">
        <x:v>Supports provisioning, review, modification and removal of access rights.</x:v>
      </x:c>
      <x:c r="J7" s="13" t="str">
        <x:v>Not Publicly Verifiable</x:v>
      </x:c>
      <x:c r="K7" s="13" t="str">
        <x:v>Periodic access certification and detailed Joiner/Mover/Leaver evidence were not available.</x:v>
      </x:c>
    </x:row>
    <x:row r="8">
      <x:c r="A8" s="13" t="str">
        <x:v>A.5.19</x:v>
      </x:c>
      <x:c r="B8" s="13" t="str">
        <x:v>Information security in supplier relationships</x:v>
      </x:c>
      <x:c r="C8" s="13" t="str">
        <x:v>Organizational</x:v>
      </x:c>
      <x:c r="D8" s="13" t="str">
        <x:v>R009, R013</x:v>
      </x:c>
      <x:c r="E8" s="13" t="str">
        <x:v>GAP-003, GAP-007</x:v>
      </x:c>
      <x:c r="F8" s="13" t="str">
        <x:v>T009, T013</x:v>
      </x:c>
      <x:c r="G8" s="13" t="str">
        <x:v>C001</x:v>
      </x:c>
      <x:c r="H8" s="13" t="str">
        <x:v>Applicable</x:v>
      </x:c>
      <x:c r="I8" s="13" t="str">
        <x:v>Addresses security risks arising from suppliers and service providers.</x:v>
      </x:c>
      <x:c r="J8" s="13" t="str">
        <x:v>Partially Evidenced</x:v>
      </x:c>
      <x:c r="K8" s="13" t="str">
        <x:v>Third-party relationships are public, but detailed supplier-security governance was not independently verified.</x:v>
      </x:c>
    </x:row>
    <x:row r="9">
      <x:c r="A9" s="13" t="str">
        <x:v>A.5.20</x:v>
      </x:c>
      <x:c r="B9" s="13" t="str">
        <x:v>Addressing information security within supplier agreements</x:v>
      </x:c>
      <x:c r="C9" s="13" t="str">
        <x:v>Organizational</x:v>
      </x:c>
      <x:c r="D9" s="13" t="str">
        <x:v>R009, R013</x:v>
      </x:c>
      <x:c r="E9" s="13" t="str">
        <x:v>GAP-003, GAP-007</x:v>
      </x:c>
      <x:c r="F9" s="13" t="str">
        <x:v>T009, T013</x:v>
      </x:c>
      <x:c r="G9" s="13" t="str">
        <x:v>C001</x:v>
      </x:c>
      <x:c r="H9" s="13" t="str">
        <x:v>Applicable</x:v>
      </x:c>
      <x:c r="I9" s="13" t="str">
        <x:v>Supports contractual definition of security responsibilities and requirements for suppliers.</x:v>
      </x:c>
      <x:c r="J9" s="13" t="str">
        <x:v>Partially Evidenced</x:v>
      </x:c>
      <x:c r="K9" s="13" t="str">
        <x:v>Public legal/privacy material indicates contractual protections, but full supplier agreements were not reviewed.</x:v>
      </x:c>
    </x:row>
    <x:row r="10">
      <x:c r="A10" s="13" t="str">
        <x:v>A.5.21</x:v>
      </x:c>
      <x:c r="B10" s="13" t="str">
        <x:v>Managing information security in the ICT supply chain</x:v>
      </x:c>
      <x:c r="C10" s="13" t="str">
        <x:v>Organizational</x:v>
      </x:c>
      <x:c r="D10" s="13" t="str">
        <x:v>R009, R013, R018</x:v>
      </x:c>
      <x:c r="E10" s="13" t="str">
        <x:v>GAP-003, GAP-007</x:v>
      </x:c>
      <x:c r="F10" s="13" t="str">
        <x:v>T009, T013, T018</x:v>
      </x:c>
      <x:c r="G10" s="13" t="str">
        <x:v>C001</x:v>
      </x:c>
      <x:c r="H10" s="13" t="str">
        <x:v>Applicable</x:v>
      </x:c>
      <x:c r="I10" s="13" t="str">
        <x:v>Addresses ICT supply-chain risks including technology products, services and dependencies.</x:v>
      </x:c>
      <x:c r="J10" s="13" t="str">
        <x:v>Not Publicly Verifiable</x:v>
      </x:c>
      <x:c r="K10" s="13" t="str">
        <x:v>Detailed ICT supply-chain assurance, SBOM and dependency-governance evidence was not publicly available.</x:v>
      </x:c>
    </x:row>
    <x:row r="11">
      <x:c r="A11" s="13" t="str">
        <x:v>A.5.22</x:v>
      </x:c>
      <x:c r="B11" s="13" t="str">
        <x:v>Monitoring, review and change management of supplier services</x:v>
      </x:c>
      <x:c r="C11" s="13" t="str">
        <x:v>Organizational</x:v>
      </x:c>
      <x:c r="D11" s="13" t="str">
        <x:v>R009, R013</x:v>
      </x:c>
      <x:c r="E11" s="13" t="str">
        <x:v>GAP-007</x:v>
      </x:c>
      <x:c r="F11" s="13" t="str">
        <x:v>T009, T013</x:v>
      </x:c>
      <x:c r="G11" s="13" t="str">
        <x:v>C001</x:v>
      </x:c>
      <x:c r="H11" s="13" t="str">
        <x:v>Applicable</x:v>
      </x:c>
      <x:c r="I11" s="13" t="str">
        <x:v>Supports ongoing supplier assurance rather than one-time onboarding assessment.</x:v>
      </x:c>
      <x:c r="J11" s="13" t="str">
        <x:v>Not Publicly Verifiable</x:v>
      </x:c>
      <x:c r="K11" s="13" t="str">
        <x:v>Internal supplier monitoring and reassessment records were not available.</x:v>
      </x:c>
    </x:row>
    <x:row r="12">
      <x:c r="A12" s="13" t="str">
        <x:v>A.5.23</x:v>
      </x:c>
      <x:c r="B12" s="13" t="str">
        <x:v>Information security for use of cloud services</x:v>
      </x:c>
      <x:c r="C12" s="13" t="str">
        <x:v>Organizational</x:v>
      </x:c>
      <x:c r="D12" s="13" t="str">
        <x:v>R005, R012</x:v>
      </x:c>
      <x:c r="E12" s="13" t="str">
        <x:v>GAP-002</x:v>
      </x:c>
      <x:c r="F12" s="13" t="str">
        <x:v>T005, T012</x:v>
      </x:c>
      <x:c r="G12" s="13" t="str">
        <x:v>C001, C002, C003</x:v>
      </x:c>
      <x:c r="H12" s="13" t="str">
        <x:v>Applicable</x:v>
      </x:c>
      <x:c r="I12" s="13" t="str">
        <x:v>Supports governance of acquisition, use, management and exit from cloud services.</x:v>
      </x:c>
      <x:c r="J12" s="13" t="str">
        <x:v>Partially Evidenced</x:v>
      </x:c>
      <x:c r="K12" s="13" t="str">
        <x:v>Cloud services are relevant to scope, but detailed cloud governance and configuration assurance were not verified.</x:v>
      </x:c>
    </x:row>
    <x:row r="13">
      <x:c r="A13" s="13" t="str">
        <x:v>A.5.24</x:v>
      </x:c>
      <x:c r="B13" s="13" t="str">
        <x:v>Information security incident management planning and preparation</x:v>
      </x:c>
      <x:c r="C13" s="13" t="str">
        <x:v>Organizational</x:v>
      </x:c>
      <x:c r="D13" s="13" t="str">
        <x:v>R001, R004, R007, R009, R019</x:v>
      </x:c>
      <x:c r="E13" s="13" t="str">
        <x:v>GAP-006, GAP-008</x:v>
      </x:c>
      <x:c r="F13" s="13" t="str">
        <x:v>T001, T004, T007, T009, T019</x:v>
      </x:c>
      <x:c r="G13" s="13" t="str">
        <x:v>C007</x:v>
      </x:c>
      <x:c r="H13" s="13" t="str">
        <x:v>Applicable</x:v>
      </x:c>
      <x:c r="I13" s="13" t="str">
        <x:v>Supports readiness to manage cybersecurity incidents through defined processes and responsibilities.</x:v>
      </x:c>
      <x:c r="J13" s="13" t="str">
        <x:v>Partially Evidenced</x:v>
      </x:c>
      <x:c r="K13" s="13" t="str">
        <x:v>Incident-response capability is publicly indicated, but detailed plans and exercise evidence were not reviewed.</x:v>
      </x:c>
    </x:row>
    <x:row r="14">
      <x:c r="A14" s="13" t="str">
        <x:v>A.5.25</x:v>
      </x:c>
      <x:c r="B14" s="13" t="str">
        <x:v>Assessment and decision on information security events</x:v>
      </x:c>
      <x:c r="C14" s="13" t="str">
        <x:v>Organizational</x:v>
      </x:c>
      <x:c r="D14" s="13" t="str">
        <x:v>R001, R002, R007, R019</x:v>
      </x:c>
      <x:c r="E14" s="13" t="str">
        <x:v>GAP-006</x:v>
      </x:c>
      <x:c r="F14" s="13" t="str">
        <x:v>T001, T002, T007, T019</x:v>
      </x:c>
      <x:c r="G14" s="13" t="str">
        <x:v>C002, C007</x:v>
      </x:c>
      <x:c r="H14" s="13" t="str">
        <x:v>Applicable</x:v>
      </x:c>
      <x:c r="I14" s="13" t="str">
        <x:v>Supports triage and classification of security events to determine whether incident response is required.</x:v>
      </x:c>
      <x:c r="J14" s="13" t="str">
        <x:v>Partially Evidenced</x:v>
      </x:c>
      <x:c r="K14" s="13" t="str">
        <x:v>Monitoring is publicly indicated; event-classification criteria and operating evidence are not public.</x:v>
      </x:c>
    </x:row>
    <x:row r="15">
      <x:c r="A15" s="13" t="str">
        <x:v>A.5.26</x:v>
      </x:c>
      <x:c r="B15" s="13" t="str">
        <x:v>Response to information security incidents</x:v>
      </x:c>
      <x:c r="C15" s="13" t="str">
        <x:v>Organizational</x:v>
      </x:c>
      <x:c r="D15" s="13" t="str">
        <x:v>R001, R004, R007, R009, R019</x:v>
      </x:c>
      <x:c r="E15" s="13" t="str">
        <x:v>GAP-006, GAP-008</x:v>
      </x:c>
      <x:c r="F15" s="13" t="str">
        <x:v>T001, T004, T007, T009, T019</x:v>
      </x:c>
      <x:c r="G15" s="13" t="str">
        <x:v>C007</x:v>
      </x:c>
      <x:c r="H15" s="13" t="str">
        <x:v>Applicable</x:v>
      </x:c>
      <x:c r="I15" s="13" t="str">
        <x:v>Supports coordinated containment, response and recovery from confirmed incidents.</x:v>
      </x:c>
      <x:c r="J15" s="13" t="str">
        <x:v>Partially Evidenced</x:v>
      </x:c>
      <x:c r="K15" s="13" t="str">
        <x:v>Response capability is indicated, but response effectiveness could not be tested.</x:v>
      </x:c>
    </x:row>
    <x:row r="16">
      <x:c r="A16" s="13" t="str">
        <x:v>A.5.27</x:v>
      </x:c>
      <x:c r="B16" s="13" t="str">
        <x:v>Learning from information security incidents</x:v>
      </x:c>
      <x:c r="C16" s="13" t="str">
        <x:v>Organizational</x:v>
      </x:c>
      <x:c r="D16" s="13" t="str">
        <x:v>R001-R020</x:v>
      </x:c>
      <x:c r="E16" s="13" t="str">
        <x:v>GAP-010</x:v>
      </x:c>
      <x:c r="F16" s="13" t="str">
        <x:v>T001-T020</x:v>
      </x:c>
      <x:c r="G16" s="13" t="str">
        <x:v>C007</x:v>
      </x:c>
      <x:c r="H16" s="13" t="str">
        <x:v>Applicable</x:v>
      </x:c>
      <x:c r="I16" s="13" t="str">
        <x:v>Supports continual improvement by incorporating incident lessons into controls and risk treatment.</x:v>
      </x:c>
      <x:c r="J16" s="13" t="str">
        <x:v>Not Publicly Verifiable</x:v>
      </x:c>
      <x:c r="K16" s="13" t="str">
        <x:v>Internal post-incident review and lessons-learned records were not available.</x:v>
      </x:c>
    </x:row>
    <x:row r="17">
      <x:c r="A17" s="13" t="str">
        <x:v>A.5.28</x:v>
      </x:c>
      <x:c r="B17" s="13" t="str">
        <x:v>Collection of evidence</x:v>
      </x:c>
      <x:c r="C17" s="13" t="str">
        <x:v>Organizational</x:v>
      </x:c>
      <x:c r="D17" s="13" t="str">
        <x:v>R001, R007, R008, R019</x:v>
      </x:c>
      <x:c r="E17" s="13" t="str">
        <x:v>GAP-006</x:v>
      </x:c>
      <x:c r="F17" s="13" t="str">
        <x:v>T001, T007, T008, T019</x:v>
      </x:c>
      <x:c r="G17" s="13" t="str">
        <x:v>C002, C007</x:v>
      </x:c>
      <x:c r="H17" s="13" t="str">
        <x:v>Applicable</x:v>
      </x:c>
      <x:c r="I17" s="13" t="str">
        <x:v>Supports preservation of evidence for investigation, disciplinary, regulatory or legal needs.</x:v>
      </x:c>
      <x:c r="J17" s="13" t="str">
        <x:v>Not Publicly Verifiable</x:v>
      </x:c>
      <x:c r="K17" s="13" t="str">
        <x:v>Detailed forensic-evidence procedures were not publicly available.</x:v>
      </x:c>
    </x:row>
    <x:row r="18">
      <x:c r="A18" s="13" t="str">
        <x:v>A.5.29</x:v>
      </x:c>
      <x:c r="B18" s="13" t="str">
        <x:v>Information security during disruption</x:v>
      </x:c>
      <x:c r="C18" s="13" t="str">
        <x:v>Organizational</x:v>
      </x:c>
      <x:c r="D18" s="13" t="str">
        <x:v>R004, R010, R020</x:v>
      </x:c>
      <x:c r="E18" s="13" t="str">
        <x:v>GAP-008, GAP-009</x:v>
      </x:c>
      <x:c r="F18" s="13" t="str">
        <x:v>T004, T010, T020</x:v>
      </x:c>
      <x:c r="G18" s="13" t="str">
        <x:v>C008</x:v>
      </x:c>
      <x:c r="H18" s="13" t="str">
        <x:v>Applicable</x:v>
      </x:c>
      <x:c r="I18" s="13" t="str">
        <x:v>Supports maintaining appropriate information-security controls during operational disruption.</x:v>
      </x:c>
      <x:c r="J18" s="13" t="str">
        <x:v>Partially Evidenced</x:v>
      </x:c>
      <x:c r="K18" s="13" t="str">
        <x:v>Resilience is relevant, but security controls during disruption could not be independently assessed.</x:v>
      </x:c>
    </x:row>
    <x:row r="19">
      <x:c r="A19" s="13" t="str">
        <x:v>A.5.30</x:v>
      </x:c>
      <x:c r="B19" s="13" t="str">
        <x:v>ICT readiness for business continuity</x:v>
      </x:c>
      <x:c r="C19" s="13" t="str">
        <x:v>Organizational</x:v>
      </x:c>
      <x:c r="D19" s="13" t="str">
        <x:v>R004, R010</x:v>
      </x:c>
      <x:c r="E19" s="13" t="str">
        <x:v>GAP-008</x:v>
      </x:c>
      <x:c r="F19" s="13" t="str">
        <x:v>T004, T010</x:v>
      </x:c>
      <x:c r="G19" s="13" t="str">
        <x:v>C008</x:v>
      </x:c>
      <x:c r="H19" s="13" t="str">
        <x:v>Applicable</x:v>
      </x:c>
      <x:c r="I19" s="13" t="str">
        <x:v>Supports ICT continuity capabilities aligned with business-continuity objectives.</x:v>
      </x:c>
      <x:c r="J19" s="13" t="str">
        <x:v>Partially Evidenced</x:v>
      </x:c>
      <x:c r="K19" s="13" t="str">
        <x:v>Detailed recovery objectives, architecture and exercise results were not publicly available.</x:v>
      </x:c>
    </x:row>
    <x:row r="20">
      <x:c r="A20" s="13" t="str">
        <x:v>A.5.31</x:v>
      </x:c>
      <x:c r="B20" s="13" t="str">
        <x:v>Legal, statutory, regulatory and contractual requirements</x:v>
      </x:c>
      <x:c r="C20" s="13" t="str">
        <x:v>Organizational</x:v>
      </x:c>
      <x:c r="D20" s="13" t="str">
        <x:v>R001, R003, R009, R014</x:v>
      </x:c>
      <x:c r="E20" s="13" t="str">
        <x:v>GAP-004, GAP-007</x:v>
      </x:c>
      <x:c r="F20" s="13" t="str">
        <x:v>T001, T003, T009, T014</x:v>
      </x:c>
      <x:c r="G20" s="13" t="str">
        <x:v>C001</x:v>
      </x:c>
      <x:c r="H20" s="13" t="str">
        <x:v>Applicable</x:v>
      </x:c>
      <x:c r="I20" s="13" t="str">
        <x:v>Supports identification and management of security-related legal and contractual obligations.</x:v>
      </x:c>
      <x:c r="J20" s="13" t="str">
        <x:v>Partially Evidenced</x:v>
      </x:c>
      <x:c r="K20" s="13" t="str">
        <x:v>Public privacy/legal material provides evidence of obligations, but the complete internal compliance register is unavailable.</x:v>
      </x:c>
    </x:row>
    <x:row r="21">
      <x:c r="A21" s="13" t="str">
        <x:v>A.5.34</x:v>
      </x:c>
      <x:c r="B21" s="13" t="str">
        <x:v>Privacy and protection of PII</x:v>
      </x:c>
      <x:c r="C21" s="13" t="str">
        <x:v>Organizational</x:v>
      </x:c>
      <x:c r="D21" s="13" t="str">
        <x:v>R001, R008, R014</x:v>
      </x:c>
      <x:c r="E21" s="13" t="str">
        <x:v>GAP-001, GAP-004</x:v>
      </x:c>
      <x:c r="F21" s="13" t="str">
        <x:v>T001, T008, T014</x:v>
      </x:c>
      <x:c r="G21" s="13" t="str">
        <x:v>C001, C005, C006</x:v>
      </x:c>
      <x:c r="H21" s="13" t="str">
        <x:v>Applicable</x:v>
      </x:c>
      <x:c r="I21" s="13" t="str">
        <x:v>Directly supports protection of customer personal information and privacy obligations.</x:v>
      </x:c>
      <x:c r="J21" s="13" t="str">
        <x:v>Publicly Evidenced</x:v>
      </x:c>
      <x:c r="K21" s="13" t="str">
        <x:v>Dialog publishes a privacy notice describing personal-data processing and protection responsibilities.</x:v>
      </x:c>
    </x:row>
    <x:row r="22">
      <x:c r="A22" s="13" t="str">
        <x:v>A.6.3</x:v>
      </x:c>
      <x:c r="B22" s="13" t="str">
        <x:v>Information security awareness, education and training</x:v>
      </x:c>
      <x:c r="C22" s="13" t="str">
        <x:v>People</x:v>
      </x:c>
      <x:c r="D22" s="13" t="str">
        <x:v>R007, R008</x:v>
      </x:c>
      <x:c r="E22" s="13" t="str">
        <x:v>GAP-010</x:v>
      </x:c>
      <x:c r="F22" s="13" t="str">
        <x:v>T007, T008</x:v>
      </x:c>
      <x:c r="G22" s="13" t="str">
        <x:v>C004</x:v>
      </x:c>
      <x:c r="H22" s="13" t="str">
        <x:v>Applicable</x:v>
      </x:c>
      <x:c r="I22" s="13" t="str">
        <x:v>Supports reduction of phishing, social-engineering and insider-risk exposure through staff awareness.</x:v>
      </x:c>
      <x:c r="J22" s="13" t="str">
        <x:v>Partially Evidenced</x:v>
      </x:c>
      <x:c r="K22" s="13" t="str">
        <x:v>Security awareness is represented as an existing control, but detailed training metrics are not public.</x:v>
      </x:c>
    </x:row>
    <x:row r="23">
      <x:c r="A23" s="13" t="str">
        <x:v>A.6.5</x:v>
      </x:c>
      <x:c r="B23" s="13" t="str">
        <x:v>Responsibilities after termination or change of employment</x:v>
      </x:c>
      <x:c r="C23" s="13" t="str">
        <x:v>People</x:v>
      </x:c>
      <x:c r="D23" s="13" t="str">
        <x:v>R008, R011, R017</x:v>
      </x:c>
      <x:c r="E23" s="13" t="str">
        <x:v>GAP-001</x:v>
      </x:c>
      <x:c r="F23" s="13" t="str">
        <x:v>T008, T011, T017</x:v>
      </x:c>
      <x:c r="G23" s="13" t="str">
        <x:v>C005</x:v>
      </x:c>
      <x:c r="H23" s="13" t="str">
        <x:v>Applicable</x:v>
      </x:c>
      <x:c r="I23" s="13" t="str">
        <x:v>Supports timely adjustment or removal of access following employment changes.</x:v>
      </x:c>
      <x:c r="J23" s="13" t="str">
        <x:v>Not Publicly Verifiable</x:v>
      </x:c>
      <x:c r="K23" s="13" t="str">
        <x:v>Detailed Joiner/Mover/Leaver evidence was not publicly available.</x:v>
      </x:c>
    </x:row>
    <x:row r="24">
      <x:c r="A24" s="13" t="str">
        <x:v>A.8.2</x:v>
      </x:c>
      <x:c r="B24" s="13" t="str">
        <x:v>Privileged access rights</x:v>
      </x:c>
      <x:c r="C24" s="13" t="str">
        <x:v>Technological</x:v>
      </x:c>
      <x:c r="D24" s="13" t="str">
        <x:v>R001, R008, R011</x:v>
      </x:c>
      <x:c r="E24" s="13" t="str">
        <x:v>GAP-001</x:v>
      </x:c>
      <x:c r="F24" s="13" t="str">
        <x:v>T001, T008, T011</x:v>
      </x:c>
      <x:c r="G24" s="13" t="str">
        <x:v>C005</x:v>
      </x:c>
      <x:c r="H24" s="13" t="str">
        <x:v>Applicable</x:v>
      </x:c>
      <x:c r="I24" s="13" t="str">
        <x:v>Restricts and governs elevated privileges that could materially affect sensitive systems or data.</x:v>
      </x:c>
      <x:c r="J24" s="13" t="str">
        <x:v>Not Publicly Verifiable</x:v>
      </x:c>
      <x:c r="K24" s="13" t="str">
        <x:v>Privileged-access review and PAM implementation details were not publicly available.</x:v>
      </x:c>
    </x:row>
    <x:row r="25">
      <x:c r="A25" s="13" t="str">
        <x:v>A.8.3</x:v>
      </x:c>
      <x:c r="B25" s="13" t="str">
        <x:v>Information access restriction</x:v>
      </x:c>
      <x:c r="C25" s="13" t="str">
        <x:v>Technological</x:v>
      </x:c>
      <x:c r="D25" s="13" t="str">
        <x:v>R001, R008, R011</x:v>
      </x:c>
      <x:c r="E25" s="13" t="str">
        <x:v>GAP-001</x:v>
      </x:c>
      <x:c r="F25" s="13" t="str">
        <x:v>T001, T008, T011</x:v>
      </x:c>
      <x:c r="G25" s="13" t="str">
        <x:v>C005</x:v>
      </x:c>
      <x:c r="H25" s="13" t="str">
        <x:v>Applicable</x:v>
      </x:c>
      <x:c r="I25" s="13" t="str">
        <x:v>Supports technical enforcement of authorized access to information and application functions.</x:v>
      </x:c>
      <x:c r="J25" s="13" t="str">
        <x:v>Partially Evidenced</x:v>
      </x:c>
      <x:c r="K25" s="13" t="str">
        <x:v>Access protections are indicated, but granular enforcement and testing cannot be independently verified.</x:v>
      </x:c>
    </x:row>
    <x:row r="26">
      <x:c r="A26" s="13" t="str">
        <x:v>A.8.5</x:v>
      </x:c>
      <x:c r="B26" s="13" t="str">
        <x:v>Secure authentication</x:v>
      </x:c>
      <x:c r="C26" s="13" t="str">
        <x:v>Technological</x:v>
      </x:c>
      <x:c r="D26" s="13" t="str">
        <x:v>R002, R017</x:v>
      </x:c>
      <x:c r="E26" s="13" t="str">
        <x:v>GAP-001</x:v>
      </x:c>
      <x:c r="F26" s="13" t="str">
        <x:v>T002, T017</x:v>
      </x:c>
      <x:c r="G26" s="13" t="str">
        <x:v>C005</x:v>
      </x:c>
      <x:c r="H26" s="13" t="str">
        <x:v>Applicable</x:v>
      </x:c>
      <x:c r="I26" s="13" t="str">
        <x:v>Supports secure authentication mechanisms for systems and applications.</x:v>
      </x:c>
      <x:c r="J26" s="13" t="str">
        <x:v>Partially Evidenced</x:v>
      </x:c>
      <x:c r="K26" s="13" t="str">
        <x:v>Authentication controls are relevant, but MFA and session-control coverage are not fully publicly verifiable.</x:v>
      </x:c>
    </x:row>
    <x:row r="27">
      <x:c r="A27" s="13" t="str">
        <x:v>A.8.6</x:v>
      </x:c>
      <x:c r="B27" s="13" t="str">
        <x:v>Capacity management</x:v>
      </x:c>
      <x:c r="C27" s="13" t="str">
        <x:v>Technological</x:v>
      </x:c>
      <x:c r="D27" s="13" t="str">
        <x:v>R004, R020</x:v>
      </x:c>
      <x:c r="E27" s="13" t="str">
        <x:v>GAP-009</x:v>
      </x:c>
      <x:c r="F27" s="13" t="str">
        <x:v>T004, T020</x:v>
      </x:c>
      <x:c r="G27" s="13" t="str">
        <x:v>C008</x:v>
      </x:c>
      <x:c r="H27" s="13" t="str">
        <x:v>Applicable</x:v>
      </x:c>
      <x:c r="I27" s="13" t="str">
        <x:v>Supports adequate capacity and resilience under expected and abnormal operating conditions.</x:v>
      </x:c>
      <x:c r="J27" s="13" t="str">
        <x:v>Not Publicly Verifiable</x:v>
      </x:c>
      <x:c r="K27" s="13" t="str">
        <x:v>Capacity thresholds and stress-test results were not publicly available.</x:v>
      </x:c>
    </x:row>
    <x:row r="28">
      <x:c r="A28" s="13" t="str">
        <x:v>A.8.8</x:v>
      </x:c>
      <x:c r="B28" s="13" t="str">
        <x:v>Management of technical vulnerabilities</x:v>
      </x:c>
      <x:c r="C28" s="13" t="str">
        <x:v>Technological</x:v>
      </x:c>
      <x:c r="D28" s="13" t="str">
        <x:v>R005, R006, R012, R015</x:v>
      </x:c>
      <x:c r="E28" s="13" t="str">
        <x:v>GAP-002, GAP-005</x:v>
      </x:c>
      <x:c r="F28" s="13" t="str">
        <x:v>T005, T006, T012, T015</x:v>
      </x:c>
      <x:c r="G28" s="13" t="str">
        <x:v>C003</x:v>
      </x:c>
      <x:c r="H28" s="13" t="str">
        <x:v>Applicable</x:v>
      </x:c>
      <x:c r="I28" s="13" t="str">
        <x:v>Supports identification, evaluation and remediation of technical vulnerabilities.</x:v>
      </x:c>
      <x:c r="J28" s="13" t="str">
        <x:v>Partially Evidenced</x:v>
      </x:c>
      <x:c r="K28" s="13" t="str">
        <x:v>Security testing is evidenced at a high level; remediation SLAs and vulnerability-management effectiveness are not public.</x:v>
      </x:c>
    </x:row>
    <x:row r="29">
      <x:c r="A29" s="13" t="str">
        <x:v>A.8.9</x:v>
      </x:c>
      <x:c r="B29" s="13" t="str">
        <x:v>Configuration management</x:v>
      </x:c>
      <x:c r="C29" s="13" t="str">
        <x:v>Technological</x:v>
      </x:c>
      <x:c r="D29" s="13" t="str">
        <x:v>R005, R012</x:v>
      </x:c>
      <x:c r="E29" s="13" t="str">
        <x:v>GAP-002</x:v>
      </x:c>
      <x:c r="F29" s="13" t="str">
        <x:v>T005, T012</x:v>
      </x:c>
      <x:c r="G29" s="13" t="str">
        <x:v>C001, C003</x:v>
      </x:c>
      <x:c r="H29" s="13" t="str">
        <x:v>Applicable</x:v>
      </x:c>
      <x:c r="I29" s="13" t="str">
        <x:v>Supports secure and consistent configuration baselines and controlled configuration changes.</x:v>
      </x:c>
      <x:c r="J29" s="13" t="str">
        <x:v>Not Publicly Verifiable</x:v>
      </x:c>
      <x:c r="K29" s="13" t="str">
        <x:v>Detailed hardened baselines and configuration-compliance results were not publicly available.</x:v>
      </x:c>
    </x:row>
    <x:row r="30">
      <x:c r="A30" s="13" t="str">
        <x:v>A.8.12</x:v>
      </x:c>
      <x:c r="B30" s="13" t="str">
        <x:v>Data leakage prevention</x:v>
      </x:c>
      <x:c r="C30" s="13" t="str">
        <x:v>Technological</x:v>
      </x:c>
      <x:c r="D30" s="13" t="str">
        <x:v>R001, R008</x:v>
      </x:c>
      <x:c r="E30" s="13" t="str">
        <x:v>GAP-001, GAP-004</x:v>
      </x:c>
      <x:c r="F30" s="13" t="str">
        <x:v>T001, T008</x:v>
      </x:c>
      <x:c r="G30" s="13" t="str">
        <x:v>C005, C006</x:v>
      </x:c>
      <x:c r="H30" s="13" t="str">
        <x:v>Applicable</x:v>
      </x:c>
      <x:c r="I30" s="13" t="str">
        <x:v>Supports prevention or detection of unauthorized disclosure of sensitive information.</x:v>
      </x:c>
      <x:c r="J30" s="13" t="str">
        <x:v>Not Publicly Verifiable</x:v>
      </x:c>
      <x:c r="K30" s="13" t="str">
        <x:v>DLP coverage and effectiveness were not established from public evidence.</x:v>
      </x:c>
    </x:row>
    <x:row r="31">
      <x:c r="A31" s="13" t="str">
        <x:v>A.8.13</x:v>
      </x:c>
      <x:c r="B31" s="13" t="str">
        <x:v>Information backup</x:v>
      </x:c>
      <x:c r="C31" s="13" t="str">
        <x:v>Technological</x:v>
      </x:c>
      <x:c r="D31" s="13" t="str">
        <x:v>R010</x:v>
      </x:c>
      <x:c r="E31" s="13" t="str">
        <x:v>GAP-008</x:v>
      </x:c>
      <x:c r="F31" s="13" t="str">
        <x:v>T010</x:v>
      </x:c>
      <x:c r="G31" s="13" t="str">
        <x:v>C008</x:v>
      </x:c>
      <x:c r="H31" s="13" t="str">
        <x:v>Applicable</x:v>
      </x:c>
      <x:c r="I31" s="13" t="str">
        <x:v>Supports recoverability of information and systems following loss, corruption or destructive events.</x:v>
      </x:c>
      <x:c r="J31" s="13" t="str">
        <x:v>Partially Evidenced</x:v>
      </x:c>
      <x:c r="K31" s="13" t="str">
        <x:v>Backup and resilience are relevant, but backup architecture and restoration-test results were not public.</x:v>
      </x:c>
    </x:row>
    <x:row r="32">
      <x:c r="A32" s="13" t="str">
        <x:v>A.8.14</x:v>
      </x:c>
      <x:c r="B32" s="13" t="str">
        <x:v>Redundancy of information processing facilities</x:v>
      </x:c>
      <x:c r="C32" s="13" t="str">
        <x:v>Technological</x:v>
      </x:c>
      <x:c r="D32" s="13" t="str">
        <x:v>R004, R010</x:v>
      </x:c>
      <x:c r="E32" s="13" t="str">
        <x:v>GAP-008</x:v>
      </x:c>
      <x:c r="F32" s="13" t="str">
        <x:v>T004, T010</x:v>
      </x:c>
      <x:c r="G32" s="13" t="str">
        <x:v>C008</x:v>
      </x:c>
      <x:c r="H32" s="13" t="str">
        <x:v>Applicable</x:v>
      </x:c>
      <x:c r="I32" s="13" t="str">
        <x:v>Supports service availability through redundancy of critical processing capabilities.</x:v>
      </x:c>
      <x:c r="J32" s="13" t="str">
        <x:v>Not Publicly Verifiable</x:v>
      </x:c>
      <x:c r="K32" s="13" t="str">
        <x:v>Detailed redundancy architecture was not publicly available.</x:v>
      </x:c>
    </x:row>
    <x:row r="33">
      <x:c r="A33" s="13" t="str">
        <x:v>A.8.15</x:v>
      </x:c>
      <x:c r="B33" s="13" t="str">
        <x:v>Logging</x:v>
      </x:c>
      <x:c r="C33" s="13" t="str">
        <x:v>Technological</x:v>
      </x:c>
      <x:c r="D33" s="13" t="str">
        <x:v>R001, R002, R007, R008, R019</x:v>
      </x:c>
      <x:c r="E33" s="13" t="str">
        <x:v>GAP-006</x:v>
      </x:c>
      <x:c r="F33" s="13" t="str">
        <x:v>T001, T002, T007, T008, T019</x:v>
      </x:c>
      <x:c r="G33" s="13" t="str">
        <x:v>C002</x:v>
      </x:c>
      <x:c r="H33" s="13" t="str">
        <x:v>Applicable</x:v>
      </x:c>
      <x:c r="I33" s="13" t="str">
        <x:v>Supports creation and protection of event records required for detection and investigation.</x:v>
      </x:c>
      <x:c r="J33" s="13" t="str">
        <x:v>Partially Evidenced</x:v>
      </x:c>
      <x:c r="K33" s="13" t="str">
        <x:v>Security/diagnostic logging is publicly indicated, but source coverage and retention are not fully verifiable.</x:v>
      </x:c>
    </x:row>
    <x:row r="34">
      <x:c r="A34" s="13" t="str">
        <x:v>A.8.16</x:v>
      </x:c>
      <x:c r="B34" s="13" t="str">
        <x:v>Monitoring activities</x:v>
      </x:c>
      <x:c r="C34" s="13" t="str">
        <x:v>Technological</x:v>
      </x:c>
      <x:c r="D34" s="13" t="str">
        <x:v>R001, R002, R004, R007, R019</x:v>
      </x:c>
      <x:c r="E34" s="13" t="str">
        <x:v>GAP-006</x:v>
      </x:c>
      <x:c r="F34" s="13" t="str">
        <x:v>T001, T002, T004, T007, T019</x:v>
      </x:c>
      <x:c r="G34" s="13" t="str">
        <x:v>C002</x:v>
      </x:c>
      <x:c r="H34" s="13" t="str">
        <x:v>Applicable</x:v>
      </x:c>
      <x:c r="I34" s="13" t="str">
        <x:v>Supports monitoring of systems and networks for anomalous or malicious activity.</x:v>
      </x:c>
      <x:c r="J34" s="13" t="str">
        <x:v>Partially Evidenced</x:v>
      </x:c>
      <x:c r="K34" s="13" t="str">
        <x:v>Monitoring capability is publicly indicated, but detection coverage and effectiveness were not tested.</x:v>
      </x:c>
    </x:row>
    <x:row r="35">
      <x:c r="A35" s="13" t="str">
        <x:v>A.8.20</x:v>
      </x:c>
      <x:c r="B35" s="13" t="str">
        <x:v>Networks security</x:v>
      </x:c>
      <x:c r="C35" s="13" t="str">
        <x:v>Technological</x:v>
      </x:c>
      <x:c r="D35" s="13" t="str">
        <x:v>R004, R005</x:v>
      </x:c>
      <x:c r="E35" s="13" t="str">
        <x:v>GAP-002, GAP-006</x:v>
      </x:c>
      <x:c r="F35" s="13" t="str">
        <x:v>T004, T005</x:v>
      </x:c>
      <x:c r="G35" s="13" t="str">
        <x:v>C002, C007</x:v>
      </x:c>
      <x:c r="H35" s="13" t="str">
        <x:v>Applicable</x:v>
      </x:c>
      <x:c r="I35" s="13" t="str">
        <x:v>Supports protection and management of networks against unauthorized activity and disruption.</x:v>
      </x:c>
      <x:c r="J35" s="13" t="str">
        <x:v>Partially Evidenced</x:v>
      </x:c>
      <x:c r="K35" s="13" t="str">
        <x:v>Network security is inherent to the scope, but detailed configurations are not public.</x:v>
      </x:c>
    </x:row>
    <x:row r="36">
      <x:c r="A36" s="13" t="str">
        <x:v>A.8.21</x:v>
      </x:c>
      <x:c r="B36" s="13" t="str">
        <x:v>Security of network services</x:v>
      </x:c>
      <x:c r="C36" s="13" t="str">
        <x:v>Technological</x:v>
      </x:c>
      <x:c r="D36" s="13" t="str">
        <x:v>R004</x:v>
      </x:c>
      <x:c r="E36" s="13" t="str">
        <x:v>GAP-006, GAP-008</x:v>
      </x:c>
      <x:c r="F36" s="13" t="str">
        <x:v>T004</x:v>
      </x:c>
      <x:c r="G36" s="13" t="str">
        <x:v>C002, C008</x:v>
      </x:c>
      <x:c r="H36" s="13" t="str">
        <x:v>Applicable</x:v>
      </x:c>
      <x:c r="I36" s="13" t="str">
        <x:v>Supports definition and assurance of security mechanisms and service levels for network services.</x:v>
      </x:c>
      <x:c r="J36" s="13" t="str">
        <x:v>Not Publicly Verifiable</x:v>
      </x:c>
      <x:c r="K36" s="13" t="str">
        <x:v>Detailed network-service security requirements and assurance evidence were not public.</x:v>
      </x:c>
    </x:row>
    <x:row r="37">
      <x:c r="A37" s="13" t="str">
        <x:v>A.8.24</x:v>
      </x:c>
      <x:c r="B37" s="13" t="str">
        <x:v>Use of cryptography</x:v>
      </x:c>
      <x:c r="C37" s="13" t="str">
        <x:v>Technological</x:v>
      </x:c>
      <x:c r="D37" s="13" t="str">
        <x:v>R001, R003, R014</x:v>
      </x:c>
      <x:c r="E37" s="13" t="str">
        <x:v>GAP-004</x:v>
      </x:c>
      <x:c r="F37" s="13" t="str">
        <x:v>T001, T003, T014</x:v>
      </x:c>
      <x:c r="G37" s="13" t="str">
        <x:v>C006</x:v>
      </x:c>
      <x:c r="H37" s="13" t="str">
        <x:v>Applicable</x:v>
      </x:c>
      <x:c r="I37" s="13" t="str">
        <x:v>Supports appropriate cryptographic protection of sensitive information.</x:v>
      </x:c>
      <x:c r="J37" s="13" t="str">
        <x:v>Partially Evidenced</x:v>
      </x:c>
      <x:c r="K37" s="13" t="str">
        <x:v>Information protection is publicly described, but algorithms, key management and cryptographic lifecycle controls are not fully verifiable.</x:v>
      </x:c>
    </x:row>
    <x:row r="38">
      <x:c r="A38" s="13" t="str">
        <x:v>A.8.25</x:v>
      </x:c>
      <x:c r="B38" s="13" t="str">
        <x:v>Secure development life cycle</x:v>
      </x:c>
      <x:c r="C38" s="13" t="str">
        <x:v>Technological</x:v>
      </x:c>
      <x:c r="D38" s="13" t="str">
        <x:v>R006, R011, R012, R015, R016, R017, R018, R020</x:v>
      </x:c>
      <x:c r="E38" s="13" t="str">
        <x:v>GAP-005</x:v>
      </x:c>
      <x:c r="F38" s="13" t="str">
        <x:v>T006, T011, T012, T015, T016, T017, T018, T020</x:v>
      </x:c>
      <x:c r="G38" s="13" t="str">
        <x:v>C001, C003</x:v>
      </x:c>
      <x:c r="H38" s="13" t="str">
        <x:v>Applicable</x:v>
      </x:c>
      <x:c r="I38" s="13" t="str">
        <x:v>Provides governance for integrating security throughout application and system development.</x:v>
      </x:c>
      <x:c r="J38" s="13" t="str">
        <x:v>Not Publicly Verifiable</x:v>
      </x:c>
      <x:c r="K38" s="13" t="str">
        <x:v>A formal Secure SDLC and its maturity could not be established from public evidence.</x:v>
      </x:c>
    </x:row>
    <x:row r="39">
      <x:c r="A39" s="13" t="str">
        <x:v>A.8.26</x:v>
      </x:c>
      <x:c r="B39" s="13" t="str">
        <x:v>Application security requirements</x:v>
      </x:c>
      <x:c r="C39" s="13" t="str">
        <x:v>Technological</x:v>
      </x:c>
      <x:c r="D39" s="13" t="str">
        <x:v>R006, R011, R015, R016, R017, R020</x:v>
      </x:c>
      <x:c r="E39" s="13" t="str">
        <x:v>GAP-005</x:v>
      </x:c>
      <x:c r="F39" s="13" t="str">
        <x:v>T006, T011, T015, T016, T017, T020</x:v>
      </x:c>
      <x:c r="G39" s="13" t="str">
        <x:v>C003</x:v>
      </x:c>
      <x:c r="H39" s="13" t="str">
        <x:v>Applicable</x:v>
      </x:c>
      <x:c r="I39" s="13" t="str">
        <x:v>Supports defining security requirements before application development or acquisition.</x:v>
      </x:c>
      <x:c r="J39" s="13" t="str">
        <x:v>Not Publicly Verifiable</x:v>
      </x:c>
      <x:c r="K39" s="13" t="str">
        <x:v>Detailed application-security requirements were not publicly available.</x:v>
      </x:c>
    </x:row>
    <x:row r="40">
      <x:c r="A40" s="13" t="str">
        <x:v>A.8.27</x:v>
      </x:c>
      <x:c r="B40" s="13" t="str">
        <x:v>Secure system architecture and engineering principles</x:v>
      </x:c>
      <x:c r="C40" s="13" t="str">
        <x:v>Technological</x:v>
      </x:c>
      <x:c r="D40" s="13" t="str">
        <x:v>R006, R016, R018, R020</x:v>
      </x:c>
      <x:c r="E40" s="13" t="str">
        <x:v>GAP-005, GAP-009</x:v>
      </x:c>
      <x:c r="F40" s="13" t="str">
        <x:v>T006, T016, T018, T020</x:v>
      </x:c>
      <x:c r="G40" s="13" t="str">
        <x:v>C001, C003</x:v>
      </x:c>
      <x:c r="H40" s="13" t="str">
        <x:v>Applicable</x:v>
      </x:c>
      <x:c r="I40" s="13" t="str">
        <x:v>Supports secure architecture, trust-boundary analysis and engineering practices.</x:v>
      </x:c>
      <x:c r="J40" s="13" t="str">
        <x:v>Not Publicly Verifiable</x:v>
      </x:c>
      <x:c r="K40" s="13" t="str">
        <x:v>Architecture-review and threat-modelling evidence was not publicly available.</x:v>
      </x:c>
    </x:row>
    <x:row r="41">
      <x:c r="A41" s="13" t="str">
        <x:v>A.8.28</x:v>
      </x:c>
      <x:c r="B41" s="13" t="str">
        <x:v>Secure coding</x:v>
      </x:c>
      <x:c r="C41" s="13" t="str">
        <x:v>Technological</x:v>
      </x:c>
      <x:c r="D41" s="13" t="str">
        <x:v>R006, R011, R015, R017, R018, R020</x:v>
      </x:c>
      <x:c r="E41" s="13" t="str">
        <x:v>GAP-005</x:v>
      </x:c>
      <x:c r="F41" s="13" t="str">
        <x:v>T006, T011, T015, T017, T018, T020</x:v>
      </x:c>
      <x:c r="G41" s="13" t="str">
        <x:v>C003</x:v>
      </x:c>
      <x:c r="H41" s="13" t="str">
        <x:v>Applicable</x:v>
      </x:c>
      <x:c r="I41" s="13" t="str">
        <x:v>Supports coding practices that reduce common application-security weaknesses.</x:v>
      </x:c>
      <x:c r="J41" s="13" t="str">
        <x:v>Not Publicly Verifiable</x:v>
      </x:c>
      <x:c r="K41" s="13" t="str">
        <x:v>Secure coding standards and code-review evidence were not publicly available.</x:v>
      </x:c>
    </x:row>
    <x:row r="42">
      <x:c r="A42" s="13" t="str">
        <x:v>A.8.29</x:v>
      </x:c>
      <x:c r="B42" s="13" t="str">
        <x:v>Security testing in development and acceptance</x:v>
      </x:c>
      <x:c r="C42" s="13" t="str">
        <x:v>Technological</x:v>
      </x:c>
      <x:c r="D42" s="13" t="str">
        <x:v>R006, R011, R012, R015, R017, R018, R020</x:v>
      </x:c>
      <x:c r="E42" s="13" t="str">
        <x:v>GAP-005, GAP-009</x:v>
      </x:c>
      <x:c r="F42" s="13" t="str">
        <x:v>T006, T011, T012, T015, T017, T018, T020</x:v>
      </x:c>
      <x:c r="G42" s="13" t="str">
        <x:v>C003</x:v>
      </x:c>
      <x:c r="H42" s="13" t="str">
        <x:v>Applicable</x:v>
      </x:c>
      <x:c r="I42" s="13" t="str">
        <x:v>Supports security testing before systems and application changes enter production.</x:v>
      </x:c>
      <x:c r="J42" s="13" t="str">
        <x:v>Partially Evidenced</x:v>
      </x:c>
      <x:c r="K42" s="13" t="str">
        <x:v>Penetration/security testing is represented as an existing control, but development-stage coverage is not public.</x:v>
      </x:c>
    </x:row>
    <x:row r="43">
      <x:c r="A43" s="13" t="str">
        <x:v>A.8.30</x:v>
      </x:c>
      <x:c r="B43" s="13" t="str">
        <x:v>Outsourced development</x:v>
      </x:c>
      <x:c r="C43" s="13" t="str">
        <x:v>Technological</x:v>
      </x:c>
      <x:c r="D43" s="13" t="str">
        <x:v>R009, R013, R018</x:v>
      </x:c>
      <x:c r="E43" s="13" t="str">
        <x:v>GAP-003, GAP-007</x:v>
      </x:c>
      <x:c r="F43" s="13" t="str">
        <x:v>T009, T013, T018</x:v>
      </x:c>
      <x:c r="G43" s="13" t="str">
        <x:v>C001</x:v>
      </x:c>
      <x:c r="H43" s="13" t="str">
        <x:v>Potentially Applicable</x:v>
      </x:c>
      <x:c r="I43" s="13" t="str">
        <x:v>Would govern security requirements and oversight where application development is outsourced.</x:v>
      </x:c>
      <x:c r="J43" s="13" t="str">
        <x:v>Not Publicly Verifiable</x:v>
      </x:c>
      <x:c r="K43" s="13" t="str">
        <x:v>The extent of outsourced development within the assessed scope is not established by the reviewed public evidence.</x:v>
      </x:c>
    </x:row>
    <x:row r="44">
      <x:c r="A44" s="13" t="str">
        <x:v>A.8.31</x:v>
      </x:c>
      <x:c r="B44" s="13" t="str">
        <x:v>Separation of development, test and production environments</x:v>
      </x:c>
      <x:c r="C44" s="13" t="str">
        <x:v>Technological</x:v>
      </x:c>
      <x:c r="D44" s="13" t="str">
        <x:v>R012, R015, R018</x:v>
      </x:c>
      <x:c r="E44" s="13" t="str">
        <x:v>GAP-002, GAP-005</x:v>
      </x:c>
      <x:c r="F44" s="13" t="str">
        <x:v>T012, T015, T018</x:v>
      </x:c>
      <x:c r="G44" s="13" t="str">
        <x:v>C001, C003</x:v>
      </x:c>
      <x:c r="H44" s="13" t="str">
        <x:v>Applicable</x:v>
      </x:c>
      <x:c r="I44" s="13" t="str">
        <x:v>Supports separation of environments to reduce unauthorized changes and production exposure.</x:v>
      </x:c>
      <x:c r="J44" s="13" t="str">
        <x:v>Not Publicly Verifiable</x:v>
      </x:c>
      <x:c r="K44" s="13" t="str">
        <x:v>Environment-separation architecture was not publicly available.</x:v>
      </x:c>
    </x:row>
    <x:row r="45">
      <x:c r="A45" s="13" t="str">
        <x:v>A.8.32</x:v>
      </x:c>
      <x:c r="B45" s="13" t="str">
        <x:v>Change management</x:v>
      </x:c>
      <x:c r="C45" s="13" t="str">
        <x:v>Technological</x:v>
      </x:c>
      <x:c r="D45" s="13" t="str">
        <x:v>R005, R012, R013, R018</x:v>
      </x:c>
      <x:c r="E45" s="13" t="str">
        <x:v>GAP-002, GAP-003, GAP-005</x:v>
      </x:c>
      <x:c r="F45" s="13" t="str">
        <x:v>T005, T012, T013, T018</x:v>
      </x:c>
      <x:c r="G45" s="13" t="str">
        <x:v>C001</x:v>
      </x:c>
      <x:c r="H45" s="13" t="str">
        <x:v>Applicable</x:v>
      </x:c>
      <x:c r="I45" s="13" t="str">
        <x:v>Supports controlled security-impact assessment and authorization of changes.</x:v>
      </x:c>
      <x:c r="J45" s="13" t="str">
        <x:v>Not Publicly Verifiable</x:v>
      </x:c>
      <x:c r="K45" s="13" t="str">
        <x:v>Detailed internal change-management evidence was not publicly available.</x:v>
      </x:c>
    </x:row>
  </x:sheetData>
  <x:dataValidations count="2">
    <x:dataValidation type="list" sqref="H2:H45">
      <x:formula1>"Applicable,Potentially Applicable,Not Assessed"</x:formula1>
    </x:dataValidation>
    <x:dataValidation type="list" sqref="J2:J45">
      <x:formula1>"Publicly Evidenced,Partially Evidenced,Not Publicly Verifiable"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0126a00d0241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</x:cols>
  <x:sheetData>
    <x:row r="1">
      <x:c r="A1" s="17" t="str">
        <x:v>ISO 27001 Mapping Summary</x:v>
      </x:c>
      <x:c r="B1" s="17" t="str"/>
    </x:row>
    <x:row r="2">
      <x:c r="A2" t="str">
        <x:v>Mapped Controls</x:v>
      </x:c>
      <x:c r="B2" t="n">
        <x:v>44</x:v>
      </x:c>
    </x:row>
    <x:row r="3">
      <x:c r="A3" t="str">
        <x:v>Organizational</x:v>
      </x:c>
      <x:c r="B3" t="n">
        <x:f>COUNTIF('ISO 27001 Mapping'!C2:C100,"Organizational")</x:f>
        <x:v>20</x:v>
      </x:c>
    </x:row>
    <x:row r="4">
      <x:c r="A4" t="str">
        <x:v>People</x:v>
      </x:c>
      <x:c r="B4" t="n">
        <x:f>COUNTIF('ISO 27001 Mapping'!C2:C100,"People")</x:f>
        <x:v>2</x:v>
      </x:c>
    </x:row>
    <x:row r="5">
      <x:c r="A5" t="str">
        <x:v>Physical</x:v>
      </x:c>
      <x:c r="B5" t="n">
        <x:f>COUNTIF('ISO 27001 Mapping'!C2:C100,"Physical")</x:f>
        <x:v>0</x:v>
      </x:c>
    </x:row>
    <x:row r="6">
      <x:c r="A6" t="str">
        <x:v>Technological</x:v>
      </x:c>
      <x:c r="B6" t="n">
        <x:f>COUNTIF('ISO 27001 Mapping'!C2:C100,"Technological")</x:f>
        <x:v>22</x:v>
      </x:c>
    </x:row>
    <x:row r="7">
      <x:c r="A7" t="str">
        <x:v>Potentially Applicable</x:v>
      </x:c>
      <x:c r="B7" t="n">
        <x:f>COUNTIF('ISO 27001 Mapping'!H2:H100,"Potentially Applicable")</x:f>
        <x:v>1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47ee25ab27a045f3"/>
</x:worksheet>
</file>